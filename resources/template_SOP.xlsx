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hidePivotFieldList="1"/>
  <mc:AlternateContent xmlns:mc="http://schemas.openxmlformats.org/markup-compatibility/2006">
    <mc:Choice Requires="x15">
      <x15ac:absPath xmlns:x15ac="http://schemas.microsoft.com/office/spreadsheetml/2010/11/ac" url="https://amexvienna.sharepoint.com/sites/AMEXVienna504/Freigegebene Dokumente/General/Quality/"/>
    </mc:Choice>
  </mc:AlternateContent>
  <xr:revisionPtr revIDLastSave="0" documentId="8_{67E53055-6BA5-48E5-9A9A-247BE6985DE4}" xr6:coauthVersionLast="47" xr6:coauthVersionMax="47" xr10:uidLastSave="{00000000-0000-0000-0000-000000000000}"/>
  <bookViews>
    <workbookView xWindow="-120" yWindow="-16320" windowWidth="29040" windowHeight="15720" tabRatio="599" firstSheet="1" activeTab="1" xr2:uid="{00000000-000D-0000-FFFF-FFFF00000000}"/>
  </bookViews>
  <sheets>
    <sheet name="Occurence" sheetId="5" r:id="rId1"/>
    <sheet name="Instructions and definitions" sheetId="6" r:id="rId2"/>
    <sheet name="Formulas" sheetId="2" r:id="rId3"/>
    <sheet name="Main Sheet" sheetId="1" r:id="rId4"/>
  </sheets>
  <definedNames>
    <definedName name="_xlnm._FilterDatabase" localSheetId="3" hidden="1">'Main Sheet'!$A$6:$V$309</definedName>
  </definedNames>
  <calcPr calcId="191028"/>
  <pivotCaches>
    <pivotCache cacheId="542"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8" i="1" l="1"/>
  <c r="P4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tc={4AED7FB2-010F-4045-AB57-6618DFB4A729}</author>
    <author>tc={5C57E0EE-946E-4DF9-A2B9-9359350B09B5}</author>
    <author>tc={217410B2-F579-438E-97CB-FB31B3FCB79C}</author>
  </authors>
  <commentList>
    <comment ref="D116" authorId="0" shapeId="0" xr:uid="{4AED7FB2-010F-4045-AB57-6618DFB4A729}">
      <text>
        <t>[Threaded comment]
Your version of Excel allows you to read this threaded comment; however, any edits to it will get removed if the file is opened in a newer version of Excel. Learn more: https://go.microsoft.com/fwlink/?linkid=870924
Comment:
    Estimate, as the date of occurrence was not added once the Deviation is entered in the DCR tracker</t>
      </text>
    </comment>
    <comment ref="N178" authorId="1" shapeId="0" xr:uid="{5C57E0EE-946E-4DF9-A2B9-9359350B09B5}">
      <text>
        <t>[Threaded comment]
Your version of Excel allows you to read this threaded comment; however, any edits to it will get removed if the file is opened in a newer version of Excel. Learn more: https://go.microsoft.com/fwlink/?linkid=870924
Comment:
    typo</t>
      </text>
    </comment>
    <comment ref="N179" authorId="2" shapeId="0" xr:uid="{217410B2-F579-438E-97CB-FB31B3FCB79C}">
      <text>
        <t>[Threaded comment]
Your version of Excel allows you to read this threaded comment; however, any edits to it will get removed if the file is opened in a newer version of Excel. Learn more: https://go.microsoft.com/fwlink/?linkid=870924
Comment:
    Typo 2024</t>
      </text>
    </comment>
  </commentList>
</comments>
</file>

<file path=xl/sharedStrings.xml><?xml version="1.0" encoding="utf-8"?>
<sst xmlns="http://schemas.openxmlformats.org/spreadsheetml/2006/main" count="5449" uniqueCount="1767">
  <si>
    <t>Type
D/C/R/S</t>
  </si>
  <si>
    <t>(Mehrere Elemente)</t>
  </si>
  <si>
    <t>Pharma (Y/N)</t>
  </si>
  <si>
    <t>DCR occurred on (date)</t>
  </si>
  <si>
    <t>(Alle)</t>
  </si>
  <si>
    <t>Count of Category</t>
  </si>
  <si>
    <t>Spaltenbeschriftungen</t>
  </si>
  <si>
    <t>Zeilenbeschriftungen</t>
  </si>
  <si>
    <t xml:space="preserve">Customer </t>
  </si>
  <si>
    <t>AMEX</t>
  </si>
  <si>
    <t>Supplier</t>
  </si>
  <si>
    <t>Warehouse</t>
  </si>
  <si>
    <t>Freight forwarder</t>
  </si>
  <si>
    <t>Gesamtergebnis</t>
  </si>
  <si>
    <t xml:space="preserve">Delayed shipment </t>
  </si>
  <si>
    <t>Product quality issue</t>
  </si>
  <si>
    <t>Missing item</t>
  </si>
  <si>
    <t>Temperature excursion</t>
  </si>
  <si>
    <t>Wrong quotation</t>
  </si>
  <si>
    <t>Other</t>
  </si>
  <si>
    <t>Wrong item</t>
  </si>
  <si>
    <t>Damaged item</t>
  </si>
  <si>
    <t>Rent appartament</t>
  </si>
  <si>
    <t>Field name:</t>
  </si>
  <si>
    <t>Desription/Instruction</t>
  </si>
  <si>
    <t>DCR tracking number</t>
  </si>
  <si>
    <t>A unique identifier for each case in the tracker. This should be a combination of year and sequential number for easy tracking. Example: 24-001, 24-002, 24-003, …</t>
  </si>
  <si>
    <t>Type
D/C/R/S/PIR</t>
  </si>
  <si>
    <r>
      <t xml:space="preserve">Categorize the issue into Deviation, Complaint, Recall, Safety notice, Partner issue report. Choose the appropriate category from a drop down menu. </t>
    </r>
    <r>
      <rPr>
        <sz val="10.5"/>
        <rFont val="Seqoe ui"/>
      </rPr>
      <t>For further explanation on types, please refer to the SOP 5 (Deviations, Complaints, Recalls and CAPA, Process incl. Risk Analysis).</t>
    </r>
  </si>
  <si>
    <t>Critical DCR (Y/N)</t>
  </si>
  <si>
    <t>Y (DCR is critical); N (DCR is not critical)</t>
  </si>
  <si>
    <t>The date when the issue occurred. If unknown, use the date when an Amex employee become aware of it. Enter the date in a consistent format (DD-MM-YYYY).</t>
  </si>
  <si>
    <t>Entered by</t>
  </si>
  <si>
    <t>This field specifies the individual who identified and reported the issue. It should include the name of the person responsible for the entry. This is essential for any follow-up queries or clarifications regarding the reported issue. Enter the name in a consistent format (first letter of name and surname, “nsurname”).</t>
  </si>
  <si>
    <t>Amex Office</t>
  </si>
  <si>
    <t>Choose if Amex Vienna or Amex Kenya is impacted by this DCR</t>
  </si>
  <si>
    <t xml:space="preserve">Indicates whether the issue is related to a pharmaceutical product/shippment. </t>
  </si>
  <si>
    <t>Name of the supplier involved in the issue. This is crucial for traceability and accountability in the supply chain.</t>
  </si>
  <si>
    <t>Customer</t>
  </si>
  <si>
    <t>The customer affected or reporting the issue. This is important for follow-up and customer relationship management. Please enter only customer name, not the end destination (end destination should be part of description, if applicable)</t>
  </si>
  <si>
    <t xml:space="preserve">Project </t>
  </si>
  <si>
    <t>The specific project the issue is related to. This helps us understand the context and impact of the issue.</t>
  </si>
  <si>
    <t>Responsible party (supplier, freight forwarder, AMEX, warehouse)</t>
  </si>
  <si>
    <t>Identifies who is responsible for the issue – options include Amex, Customer, Freight Forwarder, Supplier, Warehouse. This field is crucial for directing follow-up actions and accountability. Please choose from a drop down menu.</t>
  </si>
  <si>
    <t>Identify the Responsible party</t>
  </si>
  <si>
    <t>Specify the name of the company identified as responsible party (e.g., warehouse name, FF name).</t>
  </si>
  <si>
    <t>Category</t>
  </si>
  <si>
    <t>The nature of the issue, where/what the issue was. Please choose from a drop dow menu. Options include Damaged Item, Delayed Shipment, Missing Item, Product Quality Issue, Temperature Excursion, Wrong Item, Wrong Quotation, Adverse event, Partner issue report and Other. This categorization aids statistical analysis and trend identification.</t>
  </si>
  <si>
    <t>Description of the issue
(what happened)</t>
  </si>
  <si>
    <r>
      <t xml:space="preserve">A detailed description of </t>
    </r>
    <r>
      <rPr>
        <b/>
        <sz val="10.5"/>
        <color theme="1"/>
        <rFont val="Segoe UI"/>
        <family val="2"/>
      </rPr>
      <t>what happened</t>
    </r>
    <r>
      <rPr>
        <sz val="10.5"/>
        <color theme="1"/>
        <rFont val="Segoe UI"/>
        <family val="2"/>
      </rPr>
      <t>. This should be a clear and concise narrative that explains the issue thoroughly. Chronologically explain WHAT the issue was, NOT HOW/WHY happened.</t>
    </r>
  </si>
  <si>
    <t>Root cause of the issue
(how/why the issue happened)</t>
  </si>
  <si>
    <r>
      <t xml:space="preserve">Analysis of </t>
    </r>
    <r>
      <rPr>
        <b/>
        <sz val="10.5"/>
        <color theme="1"/>
        <rFont val="Segoe UI"/>
        <family val="2"/>
      </rPr>
      <t>how and why</t>
    </r>
    <r>
      <rPr>
        <sz val="10.5"/>
        <color theme="1"/>
        <rFont val="Segoe UI"/>
        <family val="2"/>
      </rPr>
      <t xml:space="preserve"> the issue occurred. This should include a detailed examination, possibly following root cause analysis techniques. Understanding the root cause is critical for implementing effective corrective actions and preventing issue in the future.</t>
    </r>
  </si>
  <si>
    <t>Financial impact on Amex</t>
  </si>
  <si>
    <t>The estimated or actual financial cost associated with the issue. This could include direct costs like product replacement, and indirect costs for transportation/ destruction of goods etc.</t>
  </si>
  <si>
    <t>Actions taken
to address complaint/deviation (when CAPA is not needed)</t>
  </si>
  <si>
    <t>Describe the immediate actions taken to resolve the issue when CAPA is not required. This might include short-term solutions or interim measures.</t>
  </si>
  <si>
    <t>CAPA report needed (Y/N)</t>
  </si>
  <si>
    <t>Indicates whether a detailed report for the DCR is necessary. Select 'Y' for Yes or 'N' for No. In order to define if CAPA report is needed please refer to SOP 5 (Deviations, Complaints, Recalls and CAPA, Process incl. Risk Analysis).</t>
  </si>
  <si>
    <t>CAPA plan</t>
  </si>
  <si>
    <t>If a DCR report is required, outline the CAPA plan here. This should include what corrective and preventive actions will be taken to address the root cause and prevent recurrence.</t>
  </si>
  <si>
    <t>Closure date</t>
  </si>
  <si>
    <t>Document the date when issue was considered closed. This helps the timely closure of issues.</t>
  </si>
  <si>
    <t>*** For each of these fields, it's important to maintain consistency and accuracy in data entry.</t>
  </si>
  <si>
    <t>Type</t>
  </si>
  <si>
    <t>Pharma</t>
  </si>
  <si>
    <t>Responsible party</t>
  </si>
  <si>
    <t>Categories</t>
  </si>
  <si>
    <t>DCR report needed (Y/N)</t>
  </si>
  <si>
    <t>AMEX Office</t>
  </si>
  <si>
    <t>Deviation</t>
  </si>
  <si>
    <t>Y</t>
  </si>
  <si>
    <t>Vienna</t>
  </si>
  <si>
    <t>Complaint</t>
  </si>
  <si>
    <t>N</t>
  </si>
  <si>
    <t>Kenya</t>
  </si>
  <si>
    <t>Recall</t>
  </si>
  <si>
    <t>Safety notice</t>
  </si>
  <si>
    <t>Partner issue report</t>
  </si>
  <si>
    <t>In case this document is printed, it may not correspond to latest valid version. The only official and valid version is available as soft copy in the QMS folder with the Quality Team.</t>
  </si>
  <si>
    <t>SOP 5 - A1
Version 4</t>
  </si>
  <si>
    <t>DCR Tracker and CAPA Overview</t>
  </si>
  <si>
    <t xml:space="preserve">Specify the name of the company identified as responsible party </t>
  </si>
  <si>
    <t>Actions</t>
  </si>
  <si>
    <t>24-239</t>
  </si>
  <si>
    <t>N/A</t>
  </si>
  <si>
    <t>amalajev</t>
  </si>
  <si>
    <t xml:space="preserve">LabConsulting AT </t>
  </si>
  <si>
    <t>UNDP</t>
  </si>
  <si>
    <t>20231687</t>
  </si>
  <si>
    <t>Supplier LabConsulting AT while offering stage never mentioned that we would need accessories in order to use the OMNI machine. Didnt give us accessories for free but just 40% discount.</t>
  </si>
  <si>
    <t>The supplier did not mention anything about the accessories until we purchased. After purchasing, the supplier asked AMEX OP how the end-user will use OMNI machine without accessories. The root cause is combination of supplier not being proactive enought and AMEX team not conducting thourough enough research of the item.</t>
  </si>
  <si>
    <t xml:space="preserve">Told the supplier to be more precise with the future quotations/informed the responsible Sales Colleagues. We purchased the accessories and shipped them along with the main item. </t>
  </si>
  <si>
    <t>24-240</t>
  </si>
  <si>
    <t>lristic, aashammari</t>
  </si>
  <si>
    <t>Tanner</t>
  </si>
  <si>
    <t>MAM</t>
  </si>
  <si>
    <t>20231789-1</t>
  </si>
  <si>
    <t>Customer complaint: Missing 19 vials of Ambisome.
“We received shipment from Vienna which included attached missing items, despite the boxes of missing items are intact, there is only 15 vials of AmBisome Injection in the box instead of 34 vials."</t>
  </si>
  <si>
    <t>All parties involved in the shipping and handling of the product Ambisome — from both warehouses to the freight
forwarder—have consistent and corroborating accounts regarding the weight, packaging, and condition of the shipment.
The customer's receipt of the shipment also aligns with these details. Given this information, the root cause of the customer's complaint seems unclear as all records and physical evidence
suggest a consistent and intact shipment process.</t>
  </si>
  <si>
    <t>CAPA needed</t>
  </si>
  <si>
    <t>1. Confirm with the warehouse Vienna-11 if missing item was packed and sent to the client. Confirm with the warehouse Hagenbrunn if missing item was transported from Vienna-11.
2. Confirm with the freight-forwarder if all goods were delivered as per records. 
3. Check if any clearence process was conducted for the shipment. 
4. Check annual inventory count reports from both warehouses.
5. Check if there were any discrepances from the customer's side.</t>
  </si>
  <si>
    <t xml:space="preserve">1. Corrective measure: Remaining quantities of Ambisome to be sent with upcoming shipment.
2. Preventive measure: Adding a GPS tracker to the upcoming Ambisome shipment.
3. The goods will be audited by an independent auditor before shipment to ensure that all the quantities are correct. </t>
  </si>
  <si>
    <t>Upcoming shipment in process.</t>
  </si>
  <si>
    <t>24-241</t>
  </si>
  <si>
    <t>lristic</t>
  </si>
  <si>
    <t>BD</t>
  </si>
  <si>
    <t>109111</t>
  </si>
  <si>
    <t xml:space="preserve">Safety notice: specific lots of BD BBL™ Sensi-Disc™. Product was distributed by BD between March 2019 and November 2023. BD confirmed through a recent evaluation of BD BBL™ Sensi-Disc™ product that twenty-eight (28) out of
thirty (30) antimicrobial discs showed reproducibility, accuracy, and/or Quality Control (QC) failures when tested with Haemophilus spp. </t>
  </si>
  <si>
    <t>The letter states, "Product was distributed by BD between March 2019 and November 2023." We had placed an order on August 22, 2008 (Order Number: 300802621). Supplier confirmed only products in the mentioned timeframe are affected by this safety notice. No further action needed.</t>
  </si>
  <si>
    <t>No further action needed.</t>
  </si>
  <si>
    <t>17/01/2024</t>
  </si>
  <si>
    <t>24-242</t>
  </si>
  <si>
    <t>Getinge</t>
  </si>
  <si>
    <t>20220089</t>
  </si>
  <si>
    <t>Safety notice:
Problem 1:
The background of this Field Safety Corrective Action (FSCA) pertains to a nonconformance recognized in the
production of the CARDIOHELP system. A production tool (viz. a cable) used to assess leakage current at the
sensor panel connection/hub (Figure 1 and Figure 2) only had connection with 1 out of 16 contacts within that
particular connection/hub. The root cause of the improper contact originates in an incorrect drawing of the
production tool in question, resulting in an incorrectly manufactured production tool. Therefore, testing with this
cable is insufficient. The insufficiency subsequently runs afoul of the EN 60601-1 Medical Electrical Equipment
standard.
Problem 2:
An additional error was identified in the process of the investigation. When the CARDIOHELP Service Manual
was created, the measurement of the patient leakage current was not taken into account. This error is unrelated
and incidental to the finding explained in the previous paragraph</t>
  </si>
  <si>
    <t>Root cause was not stated by the supplier. Investigation was conducted by supplier.</t>
  </si>
  <si>
    <t xml:space="preserve">Supplier confirmed: "Please be aware that while the affected CARDIOHELP-i units are not required to be returned and may continue to be used as usual, it is crucial to arrange an Electrical Safety Test through local Getinge representative. They will also handle any necessary repairs." The customer was informed. </t>
  </si>
  <si>
    <t>24/01/2024</t>
  </si>
  <si>
    <t>24-243</t>
  </si>
  <si>
    <t>RP, btuna, ssu</t>
  </si>
  <si>
    <t>Nektar Group</t>
  </si>
  <si>
    <t>20221293</t>
  </si>
  <si>
    <t>Orders for Shredder and Generators delayed for more than half a year, the goods are from Chinese manufacturer but we are buying them from local partner Nektar Group since 3-year warranty is requested and manufactures don't accept it</t>
  </si>
  <si>
    <t>Considering that manufacturer are in China, and End destination is HAITI, we should not have sourced the goods from supplier NektarLife which is based in Ethiophia since Day I.</t>
  </si>
  <si>
    <t xml:space="preserve">Supplier Nektargroup has been blocked on SAM and Amex has requested for refund of the goods </t>
  </si>
  <si>
    <t>closed</t>
  </si>
  <si>
    <t>24-244</t>
  </si>
  <si>
    <t>emangenje</t>
  </si>
  <si>
    <t>Purepharm</t>
  </si>
  <si>
    <t xml:space="preserve">UNDP;UNHCR; Medical Action Myanmar, </t>
  </si>
  <si>
    <t>20233251, 20232998, 20232993, 20233253, 20231799</t>
  </si>
  <si>
    <t>Purepharm did not include data logger in the inbound shipment even though requested.</t>
  </si>
  <si>
    <t>Mistake at supplier warehouse</t>
  </si>
  <si>
    <t xml:space="preserve">                            -</t>
  </si>
  <si>
    <t xml:space="preserve">The vehicle temperature log was used to assess any temperature deviations </t>
  </si>
  <si>
    <t>24-245</t>
  </si>
  <si>
    <t>mperez</t>
  </si>
  <si>
    <t xml:space="preserve">DG Solutions + CP </t>
  </si>
  <si>
    <t>WHO</t>
  </si>
  <si>
    <t>20232088</t>
  </si>
  <si>
    <t xml:space="preserve">Dg solutions did not send one package to CP and when repacking, this package was not included. Customer picked up order, but later inform that it was not complete. </t>
  </si>
  <si>
    <t xml:space="preserve">Miscommunication between DG nad CP while repacking the items </t>
  </si>
  <si>
    <t>we shipped the item that was left behind via DHL</t>
  </si>
  <si>
    <t>24-246</t>
  </si>
  <si>
    <t>Octapharma</t>
  </si>
  <si>
    <t>20233156</t>
  </si>
  <si>
    <t>Supplier delivered product, Human coagulation Factor IX, with different  expiry date from the one confirmed and agreed to.  We contacted the supplier and realised that they had shared documents with the wrong shelf life of 36 months when in fact the product has a shelf life of 24 months , as a result the expiry date that we had calculated was incorrect becuase it  extended beyond the shelf life of the product, so would not have been possible to receive. Based on the actual shelf life the product had over 90% remaining shelf life.</t>
  </si>
  <si>
    <t>The shelf life shared by the supplier via email and in their documents  was incorrect. Therefore, the expiry date was also incorrect .</t>
  </si>
  <si>
    <t xml:space="preserve">Since the expiry date had been shared with the customer when the PO was accepted , we had to communicate the change in expiry date to the customer .The customer understood and we were able to deliver the product.. </t>
  </si>
  <si>
    <t>24-247</t>
  </si>
  <si>
    <t>ebessenyeiova, lristic</t>
  </si>
  <si>
    <t>Biocodex, Unihelp, ILAPO</t>
  </si>
  <si>
    <t>20230478-3
20231832
20232537</t>
  </si>
  <si>
    <t xml:space="preserve">Temperature deviations occurred during three shipments to Kazakhstan, operated by FF Gebruder Weiss. 
Shipment 1 - deviation to 8 degrees
Shipment 2 - deviation to 11 degrees
Shipment 3 - deviation to -1.7 degrees </t>
  </si>
  <si>
    <r>
      <t xml:space="preserve">1)Turkish Air:  AWB 235-4087 1725 – in October 2023:  “It was a handling mistake which happened during the preparation phase and stored in the COL storage. After your information, that there were a temperature deviations – we arranged a claim to Turkish Air. “
2)	Shipment with Lufthansa Cargo – under AWB 020-2239 8246 and AWB 020 - 04627022: 
“Summarizing, all collected data indicate that we principally handled and stored your shipment according to the Passive Temp Support features as published in the TACT rules. The recorded temperature deviations match with the time of handling procedures such as loading/unloading, relocation and truck/flight preparation and flight. Please note that temperatures are only guaranteed during the entire transportation if moved with the Active Temp Control product.”
</t>
    </r>
    <r>
      <rPr>
        <b/>
        <i/>
        <sz val="11"/>
        <color theme="1"/>
        <rFont val="Calibri"/>
        <family val="2"/>
        <scheme val="minor"/>
      </rPr>
      <t xml:space="preserve">The shipments are passive packed shipments; temperature control can be done – during transportation and storage – whenever it is possible. </t>
    </r>
    <r>
      <rPr>
        <sz val="11"/>
        <color theme="1"/>
        <rFont val="Calibri"/>
        <family val="2"/>
        <scheme val="minor"/>
      </rPr>
      <t xml:space="preserve">
</t>
    </r>
  </si>
  <si>
    <t xml:space="preserve">1) Stability/safety of the pharmaceutical products despite temperature deviations confirmed with the manufacturer for all three products and the customer was informed.
2) Considering these deviations occurred over a period of three months, it appears to be indicative of a trend.  Investigational report including root cause and risk analysis requested from the FF. </t>
  </si>
  <si>
    <t>1. Corrective measure: Stability/safety of the pharmaceutical products despite temperature deviations confirmed with the manufacturer for all three products and the customer was informed.
2. Preventative measure: To be confirmed with BU manager.</t>
  </si>
  <si>
    <t>17/05/2024</t>
  </si>
  <si>
    <t>24-248</t>
  </si>
  <si>
    <t>Biocodex</t>
  </si>
  <si>
    <t>20232904</t>
  </si>
  <si>
    <t>Durng transportation of Stiripentol 500 mg , the temperature dropped to 8°C. The customer shared the data logger report showing the deviaton with Amex. The shipment was done through  Quehenberger  Air and Ocean GmBH. The goods were packed in polyboxes with thermal blankets .</t>
  </si>
  <si>
    <t>Extreme weather conditions</t>
  </si>
  <si>
    <t>Amex checked with supplier and confirmed that goods were still good for use. Quality team had call with polybox company to find out more information about using them</t>
  </si>
  <si>
    <t>24-249</t>
  </si>
  <si>
    <t>ebessenyeiova</t>
  </si>
  <si>
    <t>Recordati</t>
  </si>
  <si>
    <t xml:space="preserve">20232436 </t>
  </si>
  <si>
    <t>Temperature deviation occurred during the inbound shipment to Turkmenistan. Customer was responsible for this shipment as PO was with FCA incoterm. Maximum temperature was 11 degrees (product is keep cool product).</t>
  </si>
  <si>
    <t xml:space="preserve">As we were not responsible for shipping the goods we havent investigate the root cause. We just checked with the manufacturer if temperature deviation has any implications on quality of products. </t>
  </si>
  <si>
    <t xml:space="preserve">We have confirmed with the manufacturer if temperature deviation is acceptable and if product can be released for further use by the end user. As supplier confirmed, no further action was needed. </t>
  </si>
  <si>
    <t>19.02.2024</t>
  </si>
  <si>
    <t>24-250</t>
  </si>
  <si>
    <t>aebeid</t>
  </si>
  <si>
    <t>SETON UK
GIMA
Roth</t>
  </si>
  <si>
    <t>GIZ</t>
  </si>
  <si>
    <t>20220171</t>
  </si>
  <si>
    <t>Items that went missing from Schachinger despite evidence indicating their receipt. We have received photographic evidence confirming the presence of the items; however, according to Kevin, they were never logged into the inventory.</t>
  </si>
  <si>
    <t>The items were in Cargo Partner and moved to Schachinger to pack with other pharma items. The warehouse did not came to the conclusion about clear root cause. Thegoods will be sent to the customer.</t>
  </si>
  <si>
    <t xml:space="preserve"> 1. The warehouse was instructed to conduct The investigation.
2. The order was cancelled</t>
  </si>
  <si>
    <t>24-251</t>
  </si>
  <si>
    <t>CC</t>
  </si>
  <si>
    <t xml:space="preserve">Schachinger </t>
  </si>
  <si>
    <t>20200671-08</t>
  </si>
  <si>
    <t>The kits sent to customer were inspected at destination and found discrepancies on the content declared, as below: 
•	The items physically inspected in the kits have different batches and expiry dates than those mentioned in the packing lists and shipment documents
•	The items physically inspected have a shorter expiry (FEB 2024 instead of SEPT 2024 for Module 2) and ( JULY 2027 instead of SEPTEMBER 2024)
•	The items physically inspected have different lot numbers than what is stated on the official shipment documentation</t>
  </si>
  <si>
    <t xml:space="preserve">The warehouse does not follow properly the picking instructions provided by AMEX: They do not do a physical inspection of the lot taken to configure the kits, and matching the lot with the instruction provided by AMEX. </t>
  </si>
  <si>
    <t xml:space="preserve">We requested to the warehouse to prepare the batches which were supposed to be included in the shipment and we ship them to the customer, they replaced thus items with th enew ones on each kit. We also printed new labels to match the content and send them to customer. </t>
  </si>
  <si>
    <t>24-252</t>
  </si>
  <si>
    <t>kamann</t>
  </si>
  <si>
    <t>Ovelle</t>
  </si>
  <si>
    <t>UNRWA</t>
  </si>
  <si>
    <t>20180188-108</t>
  </si>
  <si>
    <t xml:space="preserve">40 pcs. of Calamine Lotion were missing. Schachinger confirmed they made a packing mistake. It was agreed with customer that we would include the missing 40pcs. in the next shipment to them. </t>
  </si>
  <si>
    <t>The warehouse staff accidentaly forgot to put box with 40 pcs of Calamine Lotion to the pallet.</t>
  </si>
  <si>
    <t xml:space="preserve">Missing items will be sent to the customer with upcoming shipment. The warehouse was instructed to double-check the pallets before the shipment. </t>
  </si>
  <si>
    <t>24-253</t>
  </si>
  <si>
    <t>kkanckova</t>
  </si>
  <si>
    <t>Sigma</t>
  </si>
  <si>
    <t>UNOPS</t>
  </si>
  <si>
    <t>20230352</t>
  </si>
  <si>
    <t xml:space="preserve">2-8°C Shipment from Vienna to DAP Dhaka, Bangladesh
-	Shipped 26th May 2023 by Air from Vienna
-	DAP Delivered end of February 2024 – the goods were very long at customs because UNOPS didn´t clear it ´´on time´´
UNOPS Complain is about following:
-	Item 33321-14571C-1000ML expired Feb 2024 
-	2-8°C shipment was not stored at 2-8°C conditions during the whole 9 months at customs
</t>
  </si>
  <si>
    <t xml:space="preserve">Wrong type of data logger accidentaly added to the shipment by CP warehouse (15-25°C instead of 2-8).
Internal changes in UNOPS caused lack of communication and processing customs clearance very late.
The expired Item 33321-14571C-1000ML was out of AMEX responsibility as UNOPS didn´t clear the shipment since 9 months at customs.
The storage conditions (2-8°C) at customs were also out of AMEX and FF responsibility as customs were supposed to store them as per AWB markings. </t>
  </si>
  <si>
    <t>OP checked with Sigma for Stability report : not available, testing by end user was recommended. UNOPS decided to close this case without replacement and further testing by end user. 
CP Warehouse FP investigated if correct data logger was used however the 15-25 data logger was in the package, instead of 2-8°C.</t>
  </si>
  <si>
    <t>21/03/2024</t>
  </si>
  <si>
    <t>24-254</t>
  </si>
  <si>
    <t>rabdelhadi</t>
  </si>
  <si>
    <t>SunPharma</t>
  </si>
  <si>
    <t>IAEA</t>
  </si>
  <si>
    <t>20231268</t>
  </si>
  <si>
    <t xml:space="preserve">Product (Pyrophosphate Cold Kit Kit for the Preparation of Technetium, Manufacturer: SunPharma) was shipped via DHL from Massachusetts, USA to Vienna, Austria. OP instructed supplier to ship product in polybox and to add datalogger. Once received in Vienna warehouse, warehouse staff notfified Operations specialist that neither polybox nor data logger were used. </t>
  </si>
  <si>
    <t>The supplier claimed the data logger was included and they confirmed they are not using polyboxes for shipment. The supplier was asked to conduct investigation from their side, however this was not accepted.</t>
  </si>
  <si>
    <t xml:space="preserve">The supplier performed assessment based on weather conditions and shipping route and confirmed goods are safe for use. </t>
  </si>
  <si>
    <t>22/03/2024</t>
  </si>
  <si>
    <t>24-255</t>
  </si>
  <si>
    <t>aashammari</t>
  </si>
  <si>
    <t>Sanofi Pastuer</t>
  </si>
  <si>
    <t>UNPD</t>
  </si>
  <si>
    <t>20240052</t>
  </si>
  <si>
    <t>The shipment from Sanofi was originally planned to be shipped directly from the supplier's premises. -batch Release was done based on the shipment plan However, due to customs issues in France, we had to bring it to our warehouse and then ship it to the customer from Austria.</t>
  </si>
  <si>
    <t>The offer was submitted with the assumption of direct shipment, without taking into account Sanofi's requirements for shipping directly from their premises. Sanofi requires quality documents and certificates, which unfortunately we were unable to provide, as the consignee was the UNPD HQ in NY.</t>
  </si>
  <si>
    <t>We had to bring the goods to Schachinger in Austria then shipped to UNDP HQ in Ny</t>
  </si>
  <si>
    <t>24-256</t>
  </si>
  <si>
    <t>AGUETTANT</t>
  </si>
  <si>
    <t>20222606</t>
  </si>
  <si>
    <t>Shipment from AAGUETTANT came with slight Temp deviation.</t>
  </si>
  <si>
    <t>Goods stayed longer than expected at customs.</t>
  </si>
  <si>
    <t>the Manufacturer was requested to confirm if the goods are still good for use based on their stability data sheet</t>
  </si>
  <si>
    <t>24-257</t>
  </si>
  <si>
    <t>Biobase</t>
  </si>
  <si>
    <t>20231480</t>
  </si>
  <si>
    <t xml:space="preserve">
The outer case of the product 1 piece of  "Vortex Mixer" arrived broken at the end users site (Laboratory in Toba Tek Singh in Pakistan). Therefore the end user informed AMEX about the damage.</t>
  </si>
  <si>
    <t xml:space="preserve">The outer case was damaged due to mishandling during transportation by the freight forwarder.
</t>
  </si>
  <si>
    <t>100USD</t>
  </si>
  <si>
    <t xml:space="preserve"> Biobase shipped new parts of the product  directly to Pakistan for repair.
They shared an instruction video with AMEX for repair. AMEX sent a local ingenieur to repair the item locally (around 100 USD costs).
After repair, second complaint arrived from the end user as the touch mode was not working properly. The supplier (Biobase) shared a video with the local partner who visited the end user and fixed it. 
</t>
  </si>
  <si>
    <t>24-258</t>
  </si>
  <si>
    <t>Bristol Labs</t>
  </si>
  <si>
    <t>IAEA;UNICEF and UNDP</t>
  </si>
  <si>
    <t>20232366, 20233240, 20232993</t>
  </si>
  <si>
    <t>Südost cargo issued 2 CMR documents/numbers (CMR numbers 23008 and 1240300706) for the same shipment due to miscommunication between them and the supplier. Both were signed by the supplier and Schachinger. Only CMR 1240300706 was used for customs.</t>
  </si>
  <si>
    <t>Miscommunication between Südost cargo and their driver</t>
  </si>
  <si>
    <t>This was communicated with supplier who also documented this in their reports</t>
  </si>
  <si>
    <t>24-259</t>
  </si>
  <si>
    <t>Wockhardt</t>
  </si>
  <si>
    <t>20232572</t>
  </si>
  <si>
    <t>After arrival of a  consignment with Sulfadiazine 500mg Tablets   in Havana, Cuba data loggers showed a temperature deviation of  28°C . From the data logger report, the time stamp shows that the deviation occured after the goods had arrived in Cuba. FF was Quehenberger Air + Ocean GmbH.</t>
  </si>
  <si>
    <t xml:space="preserve">Customer delayed collection of goods </t>
  </si>
  <si>
    <t xml:space="preserve">Amex checked with manufacturere who confirmed that the goods were still good for use </t>
  </si>
  <si>
    <t>24-260</t>
  </si>
  <si>
    <t>rreedy, ssu</t>
  </si>
  <si>
    <t>Thermo Fisher Scientific</t>
  </si>
  <si>
    <t>2023055</t>
  </si>
  <si>
    <t>Supplier delivered 13k EUR value goods after items were confirmed cancelled, has not collected return shipment and now advises credit note not possible.</t>
  </si>
  <si>
    <t>Order not correctly cancelled in Thermo system</t>
  </si>
  <si>
    <t>RR included Quality in communcations 16/05 requesting credit note and collection of return shipment from supplier, credit note for one invoice has been received, three still pending</t>
  </si>
  <si>
    <t>24-261</t>
  </si>
  <si>
    <t>Accord, PharmIdea</t>
  </si>
  <si>
    <t>20230943, 20222599</t>
  </si>
  <si>
    <t>Temperature deviation reported after goods were delivered to the customer (UNDP Turkmenistan). Temperature for keep cool shipment went up to 9.9 °C, shipped in vallidated pallet shippers (shipment lasted 5 days in total). Temperature for 15-25 shipment was between 7.8 °C and 26.4 °C, thermal blankets were used (shipment lasted 4 days).</t>
  </si>
  <si>
    <t xml:space="preserve">Temperature deviation has not been significant and both manufacturers confirmed goods are good to be used therefore the root cause was not further investigated. </t>
  </si>
  <si>
    <t xml:space="preserve">Immediately after the deviation has been reported by the end user we have approached both manufacturers. Both of them confirmed that the deviation does not have any implications on quality of products and goods can be released for further use. Customer accepted the confirmation and no further actions were needed. </t>
  </si>
  <si>
    <t>20.03.2024</t>
  </si>
  <si>
    <t>24-262</t>
  </si>
  <si>
    <t>lristic, nilic</t>
  </si>
  <si>
    <t>Schachinger assembled kit</t>
  </si>
  <si>
    <t>ICRC</t>
  </si>
  <si>
    <t>20212119-00</t>
  </si>
  <si>
    <t>Customer complaint:
"There was so many issues with those kits... I can even say that this is the first time in more than 10 years of managing kits that I have seen such an array of problems on a same delivery. 
1. batch issues - incorrect labels, discrepancy in data on the labels and content list and actual content in the kitts.
2. Wrong item - one of the boxes included chlorine from batch W476 instead W346.
3.Documentation issues- labels and content lists were corrected by hand with a pen (no date and signature)
4. wrong expiry date mentioned for detergent DDN Surf (MASDCLEMS5LI) with batch 8271
5. pumps (1 unit missing and not mentioned in the documents) 
6. content list is supposed to be placed in box 1 of the kit and it was in box 2. 
7. palletization - We cannot accept pallets with boxes 1 only and pallets with boxes 2 only. Boxes 1 and 2 of the same kit should be packed on a same pallet.
8. reuse of Franklab boxes as kit box 2/2, although openings on the box and without hiding the original batch number / expiry date. "</t>
  </si>
  <si>
    <t xml:space="preserve">1.	Warehouse related issues:
-	We’ve worked for 8 years with best pharma warehouse in Austria that had almost zero quality excursions in the past years. The warehouse is GDP certified by AGES (Austrian pharmacy authorities) and has been audited by following customers USAID, Unicef and UNDP.
-	Unfortunately, around 6 months ago we started to observe a decline in service quality levels. The warehouse underwent a significant turnover among key warehouse personnel (warehouse manager, CEO and a number of experienced warehouse workers left). This led to communication and procedural non-compliance issues, which we are actively mitigating. 
-	These issues are raised to the Quality Manager and CEO. 
-	The largest issues observed in this case:
-	Communication: not providing feedback to the OP specialist of AMEX; taking “proactive” resolutions without priory confirmation with the OP specialist of AMEX. 
2.	Amex related issues:
-	Working instructions for KMEDSDIS025 kit need enhancement. 
-	Introduce formal system to track updates to annexes and ensure all necessary steps are taken, including consulting the customer if updates should be implemented for kits that are already in the packing process.
-	Communication - Instructions for the warehouse personnel are not clear enough. </t>
  </si>
  <si>
    <t xml:space="preserve">1) Identify issues within Amex operational team
2) Identify issues within WH </t>
  </si>
  <si>
    <t>1.	The kits are relabeled internally within customer’s premises. Amex will be charged for the workload hourly rate of 50 CHF).
2.	Full CAPA investigation initiated.
3.	Credit note will be issued to the client.
1.	Warehouse related issues: 
-	Short term solution: 
•	Drafting working instructions for KMEDSDIS025 kit. 
•	Schedule live re-training for the warehouse personnel. 
•	The system for final quality control check of finished kits needs to be further optimized.
Summary of outcomes from AMEX meeting with Schachinger CEO, actions taken and planned: 
•	hired a Process Manager, to review and improve all processes.
•	hire Site manager.
•	hire Warehouse manager. 
•	they initiated workshops to review AMEX' operation.
•	invest in kitting.
•	do retraining.
These are steps in the right direction, but we do not have full confidence, therefore we take full control, and will oversee the kitting by ourselves.
-	Long term solution: 
•	Improve warehouse set up by moving the pharma warehousing to a different 3PL. It will be the same warehouse, which handles all non-pharma logistics. Estimated timing for the go live is Q4 / 2024.
2.	Amex related issues:
-	Working instructions to be improved.
-	Implement automation within the new ERP for selected parts of the kitting process.
-	Additional live training to be scheduled for the warehouse personnel.
-	Next two batches of this kit to be inspected by OP specialist.
-	More dedicated team members to be assigned to kitting project.</t>
  </si>
  <si>
    <t>24-263</t>
  </si>
  <si>
    <t xml:space="preserve">Sanofi </t>
  </si>
  <si>
    <t>MAUL</t>
  </si>
  <si>
    <t>Customer requested to know if the goods are still good for use, as they experienced a temperature excursion at customs after delivery to the airport.</t>
  </si>
  <si>
    <t>goods stayed long period at Customs in Entebbe Airport</t>
  </si>
  <si>
    <t xml:space="preserve">
AAS: I shared the deviation with the supplier, provided all necessary reports, and requested confirmation regarding the suitability of the goods for use.</t>
  </si>
  <si>
    <t>NA</t>
  </si>
  <si>
    <t>24-264</t>
  </si>
  <si>
    <t>btuna</t>
  </si>
  <si>
    <t>Radiologia</t>
  </si>
  <si>
    <r>
      <t xml:space="preserve">A total of 4 detectors of 4 Xray units out of 61 </t>
    </r>
    <r>
      <rPr>
        <sz val="11"/>
        <color theme="1"/>
        <rFont val="Calibri"/>
        <family val="2"/>
        <scheme val="minor"/>
      </rPr>
      <t>units ordered arrived defect. They had to be returned to the supplier for repair. All defected pieces were replaced with new ones.</t>
    </r>
  </si>
  <si>
    <t>Manufacturing defect. Batch will undergo testing by the manufacturer to analyze detailed root cause.</t>
  </si>
  <si>
    <t>The issue was reported to the supplier and the detectors returned. The supplier replaced the defected pieces with new ones. In addition, the supplier will do a test on the batch's quality and share the results with AMEX.</t>
  </si>
  <si>
    <t>24-265</t>
  </si>
  <si>
    <t>Schachinger</t>
  </si>
  <si>
    <t xml:space="preserve">I have noticed that warehouse has been checking serialisation during the inbound procedure even though they should not be doing this anymore. </t>
  </si>
  <si>
    <t xml:space="preserve">Lack of knowledge of the personel. </t>
  </si>
  <si>
    <t xml:space="preserve">Deviation from the process has been reported to colleagues handling Schachinger relations and it will be pointed out to the personel. </t>
  </si>
  <si>
    <t>03.05.2024</t>
  </si>
  <si>
    <t>24-266</t>
  </si>
  <si>
    <t>Sanofi</t>
  </si>
  <si>
    <t xml:space="preserve">Supplier was responsible for organising inbound delivery to our warehouse and temperature dropped to 13.4 degrees. </t>
  </si>
  <si>
    <t xml:space="preserve">The supplier was instructed by OP to ship goods with temperature-controlled truck. However, after delivery supplier confirmed the temperature controlled shipment has not been organised. </t>
  </si>
  <si>
    <t xml:space="preserve">Deviation checked with maufacturer who confirmed goods are good to be released to the end user and there is no impact on quality of the product. </t>
  </si>
  <si>
    <t>24-267</t>
  </si>
  <si>
    <t>Cargo Partner</t>
  </si>
  <si>
    <t>20231204-02</t>
  </si>
  <si>
    <t>On date 5.11.2024 WHO sent the following claim: the shipment arrived at the warehouse in Dubai on May 6th,2024. It was supposed to be transported with dry ice at -20°C, but it arrived without dry ice and without a datalogger. Additionally, the inside of the cool box is very dirty.
Pictures of the goods were also sent along with the complaint</t>
  </si>
  <si>
    <t>The OP sent the dispatch instructions as a keep frozen item. The warehouse (CP) confirmed that the data logger was included in the shipment. They also shared the data logger report for this shipment. The freight forwared was contacted to check if there were any discrepancies from their part, however, they confirmed that there were not. No proofs were sent along the confirmation. But WHO claims that the item arrived melted and without data loggers</t>
  </si>
  <si>
    <t xml:space="preserve">The OP specialist order new items to replace the melted ones. They also arrange a DAP shipment to WHO in EUA. On 7.11.2024 the items were delivered. Pictures of the item on the boc with the data logger were included in the announcement. </t>
  </si>
  <si>
    <t>24-268</t>
  </si>
  <si>
    <t>ralghazawi</t>
  </si>
  <si>
    <t>Edan</t>
  </si>
  <si>
    <t xml:space="preserve">The supplier Edan claimed that the cutoms broker forged their company seal for correction of customs declaration without notice of Scan Global logistics. </t>
  </si>
  <si>
    <t xml:space="preserve">After investigations with Scan Global, they stated: "The goods were scanned with lithium-ion batteries inside when passed through X-ray. Per the shipper, they were unable to provide battery reports and asked us to return their goods, However, the original docs with stamp is a must for CN customs to do the returning. at that time it was non-working days – and subsequently the customs broker apparently amended the stamp, to expedite the procedure in order to avoid storage charges." </t>
  </si>
  <si>
    <t>In view of the bad nature of the behavior, Edan have terminated the agency business of this customs broker.</t>
  </si>
  <si>
    <t>ongoing</t>
  </si>
  <si>
    <t>24-269</t>
  </si>
  <si>
    <t>UNICEF</t>
  </si>
  <si>
    <t xml:space="preserve">The supplier Edan claimed that the customs broker applied correction of customs declaration with false reasons without notice of the freight forwarder - Cargo-partner Logistics and Edan . And they mentioned that the behavior has unpredictable legal risks. </t>
  </si>
  <si>
    <t>After investigations with CP they stated : " We have checked this internally with our colleagues in CN, who have informed us that this mistake has happened from an external broker. It seems like the console truck did not arrive to terminal in time, that is why they have used this particular reason. According to our colleagues there should not be troubles with customs though. "</t>
  </si>
  <si>
    <t xml:space="preserve"> Cargo Partner informed us that the cutsoms broker has been blacklisted since this incident.</t>
  </si>
  <si>
    <t>24-270</t>
  </si>
  <si>
    <t>nilic</t>
  </si>
  <si>
    <t>Relonchem</t>
  </si>
  <si>
    <t>20212098-14</t>
  </si>
  <si>
    <t>Batch GQ3041 9721 boxes announced, but 9731 boxes delivered (10 extra). Batch GQ4004, 453 boxes announced, but 443 boxes delivered (10 less). Total quantity received correct.</t>
  </si>
  <si>
    <t>Book in the goods during inbound process and miscounting the quantity per batch.
Preparation of the shipment and re-packing process (not re-counting quantities per batch)</t>
  </si>
  <si>
    <t>Since the total quantity of received goods is accurate, AMEX provided amended shipping documents to the customer, reflecting the correct batches and quantities.</t>
  </si>
  <si>
    <t>In order to prevent same/similar errors from happening in future, we will introduce following preventive measures:
1. Training and re-training of the warehouse employees involved in the inbound process.
2. Introduction of double-check procedure where a second employee verifies each incoming shipment.
3. Regular quality checks to review and update packing process in order to identify any areas for improvement (this could
involve periodic audits or inspections).
4. Recounting quantities per batch during repacking process.</t>
  </si>
  <si>
    <t>24-271</t>
  </si>
  <si>
    <t>20230201-01</t>
  </si>
  <si>
    <t>Quantity announced by AMEX: 80 kits, physically received: 79 kits. 1 kit missing.</t>
  </si>
  <si>
    <t>Outbound process, preparation of the shipment and miscounting of the kits due to the human mistake.</t>
  </si>
  <si>
    <t>Since the total quantity of received goods did not correspond shipping documents and invoice, AMEX provided amended shipping documents to the
customer, reflecting the correct number of received kits, as well as the credit note for the missing kit.</t>
  </si>
  <si>
    <t>In order to prevent same/similar errors from happening in future, we will introduce following preventive measures:
1. Training and re-training of the warehouse employees involved in the packing process.
2. Introduction of double-check procedure where a second employee verifies each shipment before it is dispatched.
3. Regular quality checks to review and update packing process in order to identify any areas for improvement (this could
involve periodic audits or inspections).</t>
  </si>
  <si>
    <t>24-272</t>
  </si>
  <si>
    <t>ILAPO</t>
  </si>
  <si>
    <t>Temperature deviation during inbound shipment to the Kazakhstan. Temperature went up to 26,5 degrees for 3 hours. Product in general does not have temperature storage requirements, however, as it is pharma product, we treat it as per our standards at 15-25 degrees product same as customer.</t>
  </si>
  <si>
    <t xml:space="preserve">Goods were packed in validated boxes that holds the temperature and collected by FF on 10.05. Product left Vienna in a flight to Frankfurt on 13.05 17:17 and arrived 18:33 the same day. Goods departed to Almaty on 14.05. 16:12 and arrived on 15.05 02:22. Highest temperature deviation happened on 13:40 reported by 2 out of 4 data loggers. </t>
  </si>
  <si>
    <t xml:space="preserve">We have evaluated DL reports on our side and confirmed to customer that goods are good to be released to the end user. As per SSPC there are no special storage and shipping conditions required for this product. </t>
  </si>
  <si>
    <t>24-273</t>
  </si>
  <si>
    <t>PharmIdea</t>
  </si>
  <si>
    <t xml:space="preserve">Temperature during the inbound to our warehouse went up to 8,1 degrees for keep cool delivery. Product is keep cool product therefore should be kept between 2-8 degrees. </t>
  </si>
  <si>
    <t xml:space="preserve">Temperature in the truck went high to 8.1 degrees during the shipment which lasted for very short period of time. </t>
  </si>
  <si>
    <t xml:space="preserve">Data logger report has been checked with the supplier who confirmed goods are good to be released for further use. </t>
  </si>
  <si>
    <t>24-274</t>
  </si>
  <si>
    <t>satanassova</t>
  </si>
  <si>
    <t>Truscare</t>
  </si>
  <si>
    <t>Syringes and needles for Belarus 4105401-1: The import into the country of Belarus is possible only after registration of the medical items. During approval of registration documents we were  informed by UNDP that QUOTE: "documents provided were reviewed by our QA team and it was concluded that the supplied items are not compliant with UNDP QA policy and can’t be accepted for shipment." UNQUOTE 
in connection with CE certificate and marking on the products reviewed by TUV,
"and therefore are NOT compliant with UNDP QA policy."
we have been requested to replace the items with alternatives which are already registered in Belarus.</t>
  </si>
  <si>
    <t xml:space="preserve">Lack of EU MDR regulation knowledge from the supplier, putting CE mark on the products that will be shipped to Belarus </t>
  </si>
  <si>
    <t>26424 $</t>
  </si>
  <si>
    <t>Supplier provided their CAPA plan and the goods were destroyed. Amex provided refund to UNDP and supplier issued credit note in full amount</t>
  </si>
  <si>
    <t>24-275</t>
  </si>
  <si>
    <t xml:space="preserve">Purna </t>
  </si>
  <si>
    <t>353 Ferrous broken vials in the warehouse - Schachinger</t>
  </si>
  <si>
    <t>Human error from the warehouse employees while handling the box that contains the product.  353 of the 400 vials broke and the 47 vials were heavily spoiled with the liquid. The quality team adviced to dispose all vials.</t>
  </si>
  <si>
    <t>The warehouse employees were adviced to handle future shipments with care.</t>
  </si>
  <si>
    <t xml:space="preserve">NA </t>
  </si>
  <si>
    <t>24-276</t>
  </si>
  <si>
    <t xml:space="preserve">ERBA </t>
  </si>
  <si>
    <t xml:space="preserve">MSF </t>
  </si>
  <si>
    <t xml:space="preserve">Datalogger did not work for the shipment delieverd to MSF from Cargo partner. This did not allow the costumer to read it thus the products were rejected </t>
  </si>
  <si>
    <t xml:space="preserve">Technical issue of the datalogger </t>
  </si>
  <si>
    <t>239,7</t>
  </si>
  <si>
    <t xml:space="preserve">We will replace the items </t>
  </si>
  <si>
    <t>24-277</t>
  </si>
  <si>
    <t>Sandoz</t>
  </si>
  <si>
    <t xml:space="preserve">Missing carton to be send to UNRWA Jordan  - There has been a missing quantity of Bisoprolol Tab of one carton equal to 22,000 tab (220 packs). from Batch: NM2144 </t>
  </si>
  <si>
    <t>Human error - the warehouse employees forgot to unload one pallet to the truck of the FF</t>
  </si>
  <si>
    <t xml:space="preserve">None - was shipped with the next order </t>
  </si>
  <si>
    <t xml:space="preserve">Items to be shipped later on </t>
  </si>
  <si>
    <t>17/07/2024</t>
  </si>
  <si>
    <t>24-278</t>
  </si>
  <si>
    <t xml:space="preserve">Sance </t>
  </si>
  <si>
    <t>20180188-107</t>
  </si>
  <si>
    <t>Disparency in shipping documents and what was packed and sent to custumer (UNRWA Lebanon)</t>
  </si>
  <si>
    <t xml:space="preserve">Human error - the warehouse employees forgot to add the item to the shipment. The warehouse repack, have the dimensions, then unpack and take things back to the shelf. Afterwards, once it is time to pick up they pack again which results in many similar issues </t>
  </si>
  <si>
    <t xml:space="preserve">None  - was shipped with the next order </t>
  </si>
  <si>
    <t>24-279</t>
  </si>
  <si>
    <t>mbisercic</t>
  </si>
  <si>
    <t>Amman Pharmaceuticals Industries</t>
  </si>
  <si>
    <t>UNRWA, WHO, ICRC</t>
  </si>
  <si>
    <t>Multiple</t>
  </si>
  <si>
    <t>On 17 May 2024, UNRWA forwarded letter of GMP non-compliance of the manufacturing site Amman Pharmaceutical Industries, having several cirtical deviations captured. The report was issued by USA FDA that conducted inspection of the manufacturing site due to some homeopatic products being marketed in the USA.
Products procured by API are immediately tracked and the customers were informed to put those into quarantine until the investigation is ongoing. UNRWA asked for another source, while ICRC and WHO decided not to recall the products as no adverse reports were received by the user of API products. UNICEF and ICRC conducted join inspection and the results are pending. Until those are known, Amman Pharmaceuticals remains blocked in the system</t>
  </si>
  <si>
    <t>out of Amex scope</t>
  </si>
  <si>
    <t>Block supplier</t>
  </si>
  <si>
    <t>24-280</t>
  </si>
  <si>
    <t>rjohn</t>
  </si>
  <si>
    <t>AFMS</t>
  </si>
  <si>
    <t>The supplier's lead times were changed multiple times through procurement. Post procurement, during shipping, the original shipment plan was not kept by supplier and the contents of each shipment lot was arbitarily decided by supplier.
Customer eventually escalated the issue to management as there is a deadline for funding on June 30th.</t>
  </si>
  <si>
    <t>Supplier over promising and not communicating actual information</t>
  </si>
  <si>
    <t>Escalated to Bassel for intervention; Align within BU to for Sales, Operations and Field that suppliers don’t promise differently at different stage; Escalated to Bassel for discussion during BU Meeting.</t>
  </si>
  <si>
    <t>26/08/2024</t>
  </si>
  <si>
    <t>24-281</t>
  </si>
  <si>
    <t>Logenix</t>
  </si>
  <si>
    <t>Freight transit time over promised by logenix. Transit time from South Africa to Burundi ended up taking 2 months, even though the promise was to keep transit under 30 days. Customer also escalated the issue internally</t>
  </si>
  <si>
    <t>Not providing accurate timelines and inadequate information</t>
  </si>
  <si>
    <t>related to case 24-281; no additional financial impact</t>
  </si>
  <si>
    <t>No actions to address complaint as the goods were already in transit.</t>
  </si>
  <si>
    <t>24-282</t>
  </si>
  <si>
    <t>Aguettant</t>
  </si>
  <si>
    <t xml:space="preserve">After goods were delivered to Schachinger, warehouse reported several issues with the delivery. The pallets were labeled with the wrong number. The Datalogger of the first truck was sent in the second truck and vice versa. Batch details and quantities on packing list were not matching what has been delivered. </t>
  </si>
  <si>
    <t xml:space="preserve">Supplier was asked to clarify the discrepancy on the packing list but even after several conversations I havent received clear explanation what have gone wrong on their side and how they are tracking their batches and supplies. This was the first time such issue with Aguettant occured. </t>
  </si>
  <si>
    <t xml:space="preserve">Warehouse has been asked to take photos and mark down details about issues they notice so we can follow up with the supplier more closely. At the same time supplier has been informed about issues reported. As they could not explain why problem happened properly we advise to be more precise for the next deliveries and we proceeded with quantities and batches information as per what warehouse reported. </t>
  </si>
  <si>
    <t>30/08/2024</t>
  </si>
  <si>
    <t>24-283</t>
  </si>
  <si>
    <t>mzivkovic /Eraaber</t>
  </si>
  <si>
    <t>EIPICO</t>
  </si>
  <si>
    <t>20240204</t>
  </si>
  <si>
    <t>Datalogger showed temperature excursion in transit to Schachinger. The temperature was showing fluctuations from 4.6 to 39 degrees Celcius</t>
  </si>
  <si>
    <t xml:space="preserve">Products packed in cartons without any passive packaging material.
This is caused by misunderstanding of wat "validated box" mean, by EIPICO. The topic has been clarified
</t>
  </si>
  <si>
    <t>Complaint addressed to EIPICO, Stability reports have been received. Products good to use.</t>
  </si>
  <si>
    <t>24-284</t>
  </si>
  <si>
    <t>lraltcheff</t>
  </si>
  <si>
    <t>BMAW</t>
  </si>
  <si>
    <t>Information in the end user certificate for Dual Use item was wrongly  entered  when applying  for export permit</t>
  </si>
  <si>
    <t>Amex focal point copy paste wrong item quantity and details  by mistake</t>
  </si>
  <si>
    <t>n/a</t>
  </si>
  <si>
    <t>Never apply for Dual Use Export license with incomplete EUC</t>
  </si>
  <si>
    <t>24-285</t>
  </si>
  <si>
    <t>Correct serial numbersfor Dual User item was not provided 5 days prior to export as requested by the Austrian Authority.</t>
  </si>
  <si>
    <t>Amex focal point provided wronf serial number  by mistake at first, then informed the authortiy about the correct numbers,  however the goods were ready to be exported the next day</t>
  </si>
  <si>
    <t>Do share with BMAW the serial number(s)/LOT or Baatch number minimum 5 days prior issuance of the EX1 documents.</t>
  </si>
  <si>
    <t>24-286</t>
  </si>
  <si>
    <t>ssu</t>
  </si>
  <si>
    <t>Bio-Rad</t>
  </si>
  <si>
    <t>International Medical Corps.</t>
  </si>
  <si>
    <t>Bio- Rad issued safety notice for item ID-DiaCell I-II-III, 004310 and LISS/Coombs, 004016, they are reported to give weak positive reaction results in Indirect Antiglobulin Testing (IAT) for QC, donor, and patient samples, which may lead to further investigation prior to any transfusion and investigation of uninterpretable screening results may cause potential delay in the reporting of the result.</t>
  </si>
  <si>
    <t xml:space="preserve"> Bio-Rad is till investigating the root cause of this issue and the
corrective measures to address them.</t>
  </si>
  <si>
    <t>Customers have been informed and the safety notice has been shared</t>
  </si>
  <si>
    <t>24-287</t>
  </si>
  <si>
    <t>24-288</t>
  </si>
  <si>
    <t>AmraTek</t>
  </si>
  <si>
    <t xml:space="preserve">The end user in TKM was waiting for the item since November 2022 as the supplier was not able to provide the item due to various reasons. Therefore Amex would always made a delivery promise that was never met. The item(protocol) was needed for the already delivered piece of equipment, for installation purposes. Amex had to deal with a poor communication with the supplier as the supplier was unresponsive to phone,email or whatsapp messages. </t>
  </si>
  <si>
    <t>The supplier has provided various justifications for the missing item (protocol/software that is needed for a machine to work) but has been unresponsive to emails/calls, contributing to confusion. One of the reasons for a delay was a US sanctions on Russia. Issue falls outside the scope of Amex responsibilities.</t>
  </si>
  <si>
    <t>1.243 EUR</t>
  </si>
  <si>
    <t>Raised this issue with the supplier many times, but no improvement. Amex had to directly address the manufacturer of the items in order to solve the issue and get the missing item faster from the supplier. Amex covered the costs of the item as it was delayed and provided it to UNDP free of charge. An offical statement was provided to UNDP (with a cause of delay and planned action) in order to solve the issue.</t>
  </si>
  <si>
    <t>24-289</t>
  </si>
  <si>
    <t xml:space="preserve">Warehouse reported missing data logger in the inbound of ambient temperature part of the delivery. </t>
  </si>
  <si>
    <t xml:space="preserve">Supplier were not aware on the missing DL and declare it had to be the human error on their side. </t>
  </si>
  <si>
    <t>Checking with supplier why DL was not included in the shipment. We have a temperature reading from the truck, therefore goods can be released to market.</t>
  </si>
  <si>
    <t>24-290</t>
  </si>
  <si>
    <t>emangenje / lristic</t>
  </si>
  <si>
    <t>Purepharma, Macleods, Crescent</t>
  </si>
  <si>
    <t>On 17.05.2024. the customer sent an email with the following complaint: 
Phytomenadion injection: 12 packs (5 vials) missing
Potassium chloride injection: 18 packs (20 vials) missing. 
Metronidazole tablets: Wrong item sent. Labeling was wrong on the box, labeled as Potassium chloride, Metronidazole packed.</t>
  </si>
  <si>
    <t>Warehouse Head Quality Manager provided the official letter with statement on ongoing CAPA investigation under number 1225. The CAPA includes workshop in three phases. The workshop finished phase 1 (analysis of status quo), is now at a phase 2 (definition of requirement) and about to enter phase 3 (optimising/implementation). The measures for optimising the order processing will be part of the CAPA 1225. Therefore, the CAPA is put on hold to wait for the results of the workshop.</t>
  </si>
  <si>
    <t>Warehouse check: 
Confirm if the missing products were included in the shipment or left in the warehouse.  
Request an explanation from personnel if items are found in the warehouse.
Freight forwarder check:
If items were shipped, gather and review shipment documentation. 
Contact the freight forwarder to investigate any shipping issues.
Labeling investigation - Metronidazole labeled as Potassium chloride Injection:
Discuss with warehouse personnel the incorrect labeling of Metronidazole as Potassium Chloride. 
Determine if labeling guidelines were followed.
AMEX OP check: 
Check OP instructions for warehouse personnel.</t>
  </si>
  <si>
    <t>Warehouse Head Quality Manager is conducting a workshop. The workshop finished phase 1 (analysis of status quo), is now at a phase 2 (definition of requirement) and about to enter phase 3 (optimising/implementation).</t>
  </si>
  <si>
    <t>24-291</t>
  </si>
  <si>
    <t>GSK (ViiV Healthcare)</t>
  </si>
  <si>
    <t xml:space="preserve">28/06/2024: ViiV Healthcare has decided to voluntarily recall Retrovir IV batch KP7V. This recall has been initiated because the leaflet for this batch does not include the following latex allergy warning: 
‘Latex allergy:  
The rubber stopper of the Retrovir I.V. for infusion vials contains dry natural latex rubber that has the potential to cause allergic reactions in latex sensitive individuals.’ </t>
  </si>
  <si>
    <t>Supplier provided investigational report.</t>
  </si>
  <si>
    <t>On 28/06/2024 SOFIA was checked and it was confirmed no remaining quantites of this product on stock. 
On 28/06/2024 the client (UNDP Iran) was informed on the recall. On 30/06/2024 the UNDP Iran confirmed whole quantity (264 packs) was quarantined in their central warehouse. 
On 01/07/2024 email was sent to Schachinger Warehouse QM to confirm if any quantities f the product remained in the warehouse. 
At the moment recalled product is with Iran customs and is waiting for additional confirmation by supplier to be shipped back to supplier's premises.
On 08/11/2024, the client shipped recalled goods back to the supplier.
On the same date, the recalled goods arrived at London Heathrow Airport. On 06-12-2024, the supplier cleared and took over the goods.</t>
  </si>
  <si>
    <t>24-292</t>
  </si>
  <si>
    <t>No cstuomers were affected</t>
  </si>
  <si>
    <t>BD previously provided a field action notification regarding BD BBL™ Sensi-Disc™ to inform users to cease use for Haemophilus testing. Since then, BD has conducted a root cause investigation and has
determined that AST testing can be reinstated with additional instructions:
“Laboratories should perform and QC results should be acceptable for each day that Haemophilus spp.
testing is performed. If zone diameter measurements are difficult to interpret, another testing method
should be used for Haemophilus spp”.                                                                                                  -Users who have received BD BBL™ Sensi-Disc™ labelled with the sticker stating, “This product should not be used for the semi-quantitative in vitro susceptibility testing of Haemophilus influenzae” should not use the product for Haemophilus testing.
• If your product does not contain the sticker, then the product can be used for AST testing in line with
the updated instructions for use.</t>
  </si>
  <si>
    <t xml:space="preserve">Manufacturing defect </t>
  </si>
  <si>
    <t xml:space="preserve">No actions were taken as no customers were affected by this safety notice. </t>
  </si>
  <si>
    <t>24-293</t>
  </si>
  <si>
    <t>20212119-14</t>
  </si>
  <si>
    <t>30x 20212119-14-02:  for this batch, box 2/2 is labelled with the wrong batch number (20212119-14-01 instead of 20212119-14-02)</t>
  </si>
  <si>
    <t>The OP specialist assigned the wrong batch number for this order. This mistake occurred because the specialist was previously accustomed to working with different modular type kits, where each module is treated as a final item with its own batch number. For this order, box 2/2 contained only one batch of Povidone Iodine, leading the specialist to assign a single batch number to all 40 boxes marked 2/2.</t>
  </si>
  <si>
    <t>Correct labels sent to the client</t>
  </si>
  <si>
    <t>Preventative measures:
-	Optimize and redesign the SOP for the batch numbering system, ensuring it covers all types of kits and meets the diverse requirements of different customers, guaranteeing that the batch numbering system remains efficient, reliable, and fully compliant with industry standards.
Corrective measure:
-	Credit note to be issued to the client.</t>
  </si>
  <si>
    <t>24-294</t>
  </si>
  <si>
    <t>Amratek</t>
  </si>
  <si>
    <t>On 01-Jul-2024, customer submitted following complaint: Macopharma blood bags cartons, and inner packing arrived damaged to Ashgabat - they have been exposed to water. Pictures and videos are provided. UNDP Turkmenistan requested a statement from the manufacturer if the goods are safe to be used, or if they have to be replaced. 66 blood bags are damaged.</t>
  </si>
  <si>
    <t>Root cause - during tranportation. Freight forwarder responsibility (FF of UNDP).  Replacement cost  13 000 EUR should be covered by FF / insurance. Out of Amex scope.</t>
  </si>
  <si>
    <t>OP specialist informed and requested from  supplier Amratek to obtain the feedback from the manufactutrer Macopharma. The manufacturer and suppleir confirmed that the goods were delivered undamaged to AMEX in Austria.
The forwarding agent of UNDP, Scanglobal, confirmed that the goods have been damaged only after delivery to Turkmenistan and rejected liability for insurance compensation to UNDP, because the damage was not reported within 7 days after delivery. 
A new PO from UNDP was received and processed and delivered for the damaged quantity.</t>
  </si>
  <si>
    <t>24-295</t>
  </si>
  <si>
    <t>20240298</t>
  </si>
  <si>
    <t xml:space="preserve">On 30-Jul-2024, OP specialist received information on the recall from Tanner. 
Product details
Ciprofloxacin 0.3% O/S 2.5 ml
NDC 69315-0308-02
Batch no.  084A024
"Due to patients are unable to get the product solution out of the bottle as the spike of the cap was lodged in the nozzle of product bottle."
The goods were still in transit. Supplier requested to quarantine them upon receipt. </t>
  </si>
  <si>
    <t xml:space="preserve">Issue on supplier side - Investigational report requested from the supplier (wholesaler). </t>
  </si>
  <si>
    <t>On 31-Jul-2024, OP Immediately forwarded the recall information to Quality Department.
On the same date, the Quality Specialist informed warehouse to quarantine the goods upon receipt. 
On 05-Sep-2024, the supplier's freight forwarder picked-up the recalled items.</t>
  </si>
  <si>
    <t>24-296</t>
  </si>
  <si>
    <t>Sanofi Pasteur, Purepharm</t>
  </si>
  <si>
    <t>UNPD Uganda</t>
  </si>
  <si>
    <t xml:space="preserve">Customer´S FF was delayed on collection day because batch review had not been done on some of items and also becasue they brought wrong truck to collect 2-8°C </t>
  </si>
  <si>
    <t>For wrong truck- Customer´S FF misread product temperature requirements on packing list,                                                                                                                         Regarding absence of BR - AMEX personnel changes resulted in the batch review being missed , that is , OP in charge of the order handed over the shipping documents as ready for collection without having done the BR and this was missed until collection</t>
  </si>
  <si>
    <t>FF arranged for goods to be collected in the correct temperature vehicle on the same day</t>
  </si>
  <si>
    <t>24-297</t>
  </si>
  <si>
    <t>UNPD , MAM</t>
  </si>
  <si>
    <t>20240215,  20240415  20240486  20240298   20240603</t>
  </si>
  <si>
    <t>Data logger in the shipment was corrupted and could not be read</t>
  </si>
  <si>
    <t xml:space="preserve">Supplier did not put a functioal data logger </t>
  </si>
  <si>
    <t>Vehicle temperature log was used to chcek if there was any temperature deviation</t>
  </si>
  <si>
    <t>24-298</t>
  </si>
  <si>
    <t>Chapper Healthcare</t>
  </si>
  <si>
    <t>UNDP Cuba</t>
  </si>
  <si>
    <t>Shipment collection was delayed due to absence of batch review certificate for one of the items on the packing list</t>
  </si>
  <si>
    <t>OP error, batch review email  was deleted without being sent</t>
  </si>
  <si>
    <t xml:space="preserve">The mistake was found and goods were collected and delivered </t>
  </si>
  <si>
    <t>24-299</t>
  </si>
  <si>
    <t xml:space="preserve">Customer shared a discrepancy report showing 13 packs of Diclofenac Sodium Tablets 50mg were missing from the delivered consignment: However, it had been communicated to customer that AMEX could only procure 157 of the 170 packs ordered due to shortanges on the market. The customer had not updated their system accrordingly. </t>
  </si>
  <si>
    <t>Customer failure to update their system based on information from AMEX</t>
  </si>
  <si>
    <t xml:space="preserve">  -</t>
  </si>
  <si>
    <t>Email evidence of the communication regarding the quantities was shared with the customer.</t>
  </si>
  <si>
    <t>24-300</t>
  </si>
  <si>
    <t xml:space="preserve">UNPD </t>
  </si>
  <si>
    <t xml:space="preserve">AMEX ordered 300 packs of Rusvastatin 20 mg manufactured by TEVA from Purepharm, but Purepharm mistakenly supplied Rusvastatin manufactured by Crescent. </t>
  </si>
  <si>
    <t>Errors at supplier´s warehouse</t>
  </si>
  <si>
    <t>Supplier was alerted and asked to collect the wrong item and supply the correct product</t>
  </si>
  <si>
    <t>24-301</t>
  </si>
  <si>
    <t xml:space="preserve">Supplier delivered Loratadine 5mg/5ml, 100ml with wrong expiry date. Another expiry date was agreed upfront with the supplier. </t>
  </si>
  <si>
    <t>Supplier was asked to deliver the correct product</t>
  </si>
  <si>
    <t>24-302</t>
  </si>
  <si>
    <t>Kaplan</t>
  </si>
  <si>
    <t>Medical Action Myanmar</t>
  </si>
  <si>
    <t xml:space="preserve">20240648 and 20240456 </t>
  </si>
  <si>
    <t xml:space="preserve">The data logger report from a shipment from Kalan showed a temperature deviation of up to 32.6°C  for over 24 hours during the transit of the products </t>
  </si>
  <si>
    <t xml:space="preserve">According to FF , the airline did not properly store the consignment </t>
  </si>
  <si>
    <t>FF was asked to share information on the stability of the product at up to 32.6°C</t>
  </si>
  <si>
    <t>24-303</t>
  </si>
  <si>
    <t xml:space="preserve"> Macleods </t>
  </si>
  <si>
    <t xml:space="preserve">Customer ordered Artemether/Lumefantrine:TabDisp,20/120mg for infants instead of Artemether/Lumefantrine:TabDisp,20/120mg for adults. Customer requested to cancel the line. Current financial impact for procurement of the infant version is 22,307 €. The adult version is significantly cheaper and AMEX offered it to UNDP with a significantly higher margin to level out the financial impact AMEX is facing since UNDP ordered the wrong item (infant version). Currently AMEX is waiting to receive the PO for the adult version. Once this will be done, the overall financial impact will be indicated in the tracker.  </t>
  </si>
  <si>
    <t xml:space="preserve">Administrative error from the customer´s end </t>
  </si>
  <si>
    <r>
      <t xml:space="preserve">The customer requested an offer for the adult version of artemether/Lumefantrine:TabDisp,20/120mg. This was shared and the customer is yet to share PO. The customer has additionally requested to arrange a staggered delivery of the adult version till May 2025.   - </t>
    </r>
    <r>
      <rPr>
        <i/>
        <sz val="11"/>
        <color rgb="FF000000"/>
        <rFont val="Calibri"/>
        <family val="2"/>
        <scheme val="minor"/>
      </rPr>
      <t>This is still ongoing, therefore costs for AMEX potentially reduce again in case they order the alternative item.</t>
    </r>
  </si>
  <si>
    <t>24-304</t>
  </si>
  <si>
    <t>Tanner, Purepharm</t>
  </si>
  <si>
    <t>UNPD Cyprus</t>
  </si>
  <si>
    <t xml:space="preserve">AMEX bid and was awarded order for the customer. At OP stage , AMEX realised that we can not supply to Cyprus due to regulatory issues because the end destination is in the EU.  </t>
  </si>
  <si>
    <t>The regulators issue was  missed at Sales stage</t>
  </si>
  <si>
    <t>The position was communicated to the customer , customer accepted cancellation of PO</t>
  </si>
  <si>
    <t>24-305</t>
  </si>
  <si>
    <t>Purepharm; Macleods, Tridem Pharma</t>
  </si>
  <si>
    <t xml:space="preserve">UNPD  Central Africa Republic </t>
  </si>
  <si>
    <t>The shipment is delayed  due to failure of Purepharm to deliver the items on time, AMEX personnel changes and warehouse delays also contributed to the delay.</t>
  </si>
  <si>
    <t xml:space="preserve">Long delays in delivery from supplier </t>
  </si>
  <si>
    <t>-</t>
  </si>
  <si>
    <t>OP made all efforts to complete the order in little time. The shippings documents were sent to the customer on 22 Oct 24. The cargo will be shipped on 25 November</t>
  </si>
  <si>
    <t>24-306</t>
  </si>
  <si>
    <t>UNPD Sudan</t>
  </si>
  <si>
    <t>OP made all efforts to complete the order in little time</t>
  </si>
  <si>
    <t>24-307</t>
  </si>
  <si>
    <t>UNPD Lebanon</t>
  </si>
  <si>
    <t>The shipment is delayed  due to failure of Purepharm to deliver the items on time,  warehouse delays also contributed to the elay.</t>
  </si>
  <si>
    <t>OP made all efforts to complete the order in little time. The shipment readiness was announced to the customer on 28 Oct, but the actual shipment was delayed further due to the current situation in Leabanon. The customer agreed to wait till the beginning of December</t>
  </si>
  <si>
    <t>24-308</t>
  </si>
  <si>
    <t>UNPD Somalia</t>
  </si>
  <si>
    <t xml:space="preserve">The shipment is delayed  due to failure of Purepharm to deliver the items on time. </t>
  </si>
  <si>
    <t>OP made all efforts to complete the order in little time. The shipment was delayed further, as the customer has not yet provided import permits for the controlled drug (Tramadol)  in the shipment.</t>
  </si>
  <si>
    <t>24-309</t>
  </si>
  <si>
    <t>24-310</t>
  </si>
  <si>
    <t>UNDP Pakistan</t>
  </si>
  <si>
    <t xml:space="preserve">Despite confirming quantities during repacking, warehouse advised during the investigation of DCR Tracker Number 24-290   they discovered that 97 packs of  Metronidazole 400mg was missing from the shipment </t>
  </si>
  <si>
    <t>Warehouse  errors</t>
  </si>
  <si>
    <t xml:space="preserve">This issue is part of investigation under DCR Tracker Number 24-290 . Customer requested to have the packs replaced under a later shipment </t>
  </si>
  <si>
    <t>24-311</t>
  </si>
  <si>
    <t>20 packs of Daraprim 25mg were missing from a shipment to UNDP Cuba. The customer received 930 packs instead of 950. 1 data logger report in 1 pallet showed  a temperature deviation of up to 39°C. This affected 243 packs of Daraprim 25mg. The manufacturer stated that the goods were no longer good to use and this was communicated to the customer. AMEX will be replacing 263 packs of daraprim 25mg to UNDP Cuba</t>
  </si>
  <si>
    <t>The warehouse disputes sending lower quantity as its system shows that it released the correct quantity. The warehouse acknowledged that they wrongly placed the data logger hence the temperature deviation</t>
  </si>
  <si>
    <t>24-312</t>
  </si>
  <si>
    <t xml:space="preserve">In an urgent shipment to Lebanon, after outbound warehouse notified AMEX that of 20 packs of 37848-36301/0003 Betamethasone sodium phosphate 0.1% ear/eye/nose-drops,10 ml (Betnesol eye/ear
drops 0.1%) were missing from the consignment despite sharing packing dimensions inclduing the item. It was too late to serach so the goods were shipped without the items. Warehouse then notified that they forgot to give the driver seconds set of shipping documents and another 30 packs of 30 packs of 37848-30322/0052 FLUTICASONE PROPIONATE spray, 50 mcg metered were also missing form the consignment. </t>
  </si>
  <si>
    <t>Schachinger misplaced the items and only found them after the delivery have been made</t>
  </si>
  <si>
    <t>The warehouse has been  requested to investigate what happened and to locate the missing items so that they can be shipped to the customer.</t>
  </si>
  <si>
    <t>24-313</t>
  </si>
  <si>
    <t>apodkopaev</t>
  </si>
  <si>
    <t>MONUSCO Uganda</t>
  </si>
  <si>
    <t>The secondary package of one of the boxes was damaged, although the primary package appeared intact. The warehouse claims the product was delivered already damaged. Supplier was asked to investigate</t>
  </si>
  <si>
    <t>The supplier confirmed the damage was inflicted at their facilities.</t>
  </si>
  <si>
    <t>19,00</t>
  </si>
  <si>
    <t>Supplier offered to replace the damaged item or to issue a credit note</t>
  </si>
  <si>
    <t>24-314</t>
  </si>
  <si>
    <t>MA Pharmaceuticals</t>
  </si>
  <si>
    <t>UNPD HQ</t>
  </si>
  <si>
    <t>The suppliers packing list had the expiry date different from the date on the medicine packages, but was still signed by the warehouse without advising us about this discrepancy. The supplier was asked to provide the corrected packing list.</t>
  </si>
  <si>
    <t xml:space="preserve">Warehouse error. </t>
  </si>
  <si>
    <t>The mistake was brought to the attention of the warehouse staff to ensure it does not occur again</t>
  </si>
  <si>
    <t>24-315</t>
  </si>
  <si>
    <t>AMEX stock</t>
  </si>
  <si>
    <t>UNDP Fiji</t>
  </si>
  <si>
    <t>Responsible OP sent an export dispatch to warehouse and notified FF about pick up and custom clearance. Warehouse advised that they cannot find the project file and have to wait until next week when the responsible person is back in the office. UPD - Responsible OP made the mistake of sending the PL with the dispatch order and then issuing a new PL for the pick-up.</t>
  </si>
  <si>
    <t>OP error, insufficient training provided beforehand</t>
  </si>
  <si>
    <t>The responsible person was provided with further job trainings to avoid such mistakes in the future</t>
  </si>
  <si>
    <t>24-316</t>
  </si>
  <si>
    <t>Truscare, BD</t>
  </si>
  <si>
    <t xml:space="preserve">
On 07/08/2024, FHI360 came back to Amex regarding two purchase orders with MAUL:
1.	MAUL-USAID-MED-02-0103-31-01-03, concerning Bouffant Cap, Latex-Free, White: 56 packs of 10,000, where Amex had initially communicated batch Number YH1351 for 56 packs. Upon delivery, MAUL found that the actual batch number was 20240215-02 and asked for a clarification. 
2.	MAUL-USAID-MED-02-0103-31-01-04, concerning IV Catheter 24G, 1.9mm Sterile, w/ Inj. Port &amp; Stopper for 1 carton of 500 pieces each, where Amex had initially communicated batch number 3312378. Upon delivery, MAUL found that the actual batch number was 3340179 and asked for a clarification. </t>
  </si>
  <si>
    <t xml:space="preserve">
1.	MAUL-USAID-MED-02-0103-31-01-03, As the product came from a Chinese supplier, Amex got translated CoA where translation was not done properly, stating that the Lot was YH1351. This was an omission from the supplier’s side and their translation team and happened due to a human error
2.	MAUL-USAID-MED-02-0103-31-01-04, As Amex has regular procurement from BD, once a week they share a list of all items with batch numbers that are allocated to the order including  expiry dates: Amex should mark as “accepted” or “rejected”for each of those batches. For the batch 3312378, Amex marked respective field as accepted, however due to a glitch in their system, they delivered a different batch.</t>
  </si>
  <si>
    <t xml:space="preserve">1.	MAUL-USAID-MED-02-0103-31-01-03 - It was agreed with the manufacturer that the photos of the actual batch would be sent at the time of repacking, so Amex Operation team can cross check information present on document with actual information on the product that is to be sent
2.	MAUL-USAID-MED-02-0103-31-01-04 – it was agreed with the manufacturer that their internal documents would be shared with Amex upfront, that confirm which batches were allocated to dispatch which will allow Operations team to cross check with the batches marked as “accepted”. </t>
  </si>
  <si>
    <t>24-317</t>
  </si>
  <si>
    <t xml:space="preserve">WHO Egypt </t>
  </si>
  <si>
    <t xml:space="preserve">The warehouse has lost many items Clonidine tabs 0.025mg , Adrenaline 1mg/ml solution for inj, Hydrocortisone 100mg/ml and Gabapentin 100mg caps which is concidered a controlled drug in UK but not in Austria. The repacking took over a month to find the items and that caused delay to announce to the customer. </t>
  </si>
  <si>
    <t xml:space="preserve">Warehouse errors - the pallet was misplaced and mixed with another order </t>
  </si>
  <si>
    <t xml:space="preserve">The warehouse has been  requested to investigate what happened and to locate the missing items so that they can be shipped to the customer. In case of not finding the items, the warehouse was to be charged 8172.9 GBP to buy again the products. </t>
  </si>
  <si>
    <t>24-318</t>
  </si>
  <si>
    <t xml:space="preserve">Tanner </t>
  </si>
  <si>
    <t>MSF France</t>
  </si>
  <si>
    <t>20221035-15</t>
  </si>
  <si>
    <t>Tanner has shipped in plastic pallets rather than wooden pallets without informing AMEX. The shipment was direct shipment from Tanner to MSF</t>
  </si>
  <si>
    <t xml:space="preserve">Pallet type was not doubled checked before the shipment approval 
</t>
  </si>
  <si>
    <t xml:space="preserve">An investigation with the supplier had place. It was mentioned that these pallets were provided by the manifacturer and currently in use for export as they are less likely to break. </t>
  </si>
  <si>
    <t>24-319</t>
  </si>
  <si>
    <t>The datalogger provided with the shipment showed that it was operated between 22 and 25 July, while the shipment took place in August. The supplier's responsible person advised that the current "tempmate S1-PRO" data logger will be discontinued and replaced with a superior model. OP reported several issues with loggers recently.</t>
  </si>
  <si>
    <t>Deviation occured due to a manufacturing issue of the datalogger.</t>
  </si>
  <si>
    <t>The supplier has not used this datalogger model since then</t>
  </si>
  <si>
    <t>24-320</t>
  </si>
  <si>
    <t>MSF Belgium</t>
  </si>
  <si>
    <t>20201849-74</t>
  </si>
  <si>
    <t xml:space="preserve">On 14 Augu we shipped ERBA reagents (2-8 C) in a polybox  from Cargo Partner. While in transit with DHL, the temperature came up from 8 to 13.1 during the last 13 hours of the transit </t>
  </si>
  <si>
    <t>OP contacted manufacturer to confirm that the goods are stable. OP confirmed with CP that goods were packed in the respective polybox. Good were shipped via DHL.de and there is no direct point of contact at DHL which whom we can further investigate this deviation.</t>
  </si>
  <si>
    <t>None</t>
  </si>
  <si>
    <t>24-321</t>
  </si>
  <si>
    <t>denzaru</t>
  </si>
  <si>
    <t>Arctiko</t>
  </si>
  <si>
    <t>2 out of 3 freezers were delivered to cargo partner damaged with outer packaging damnaged and some dents.</t>
  </si>
  <si>
    <t>Damage during delivery. Out of Amex scope.</t>
  </si>
  <si>
    <t>Damaged goods replaced (exchanged) by supplier.</t>
  </si>
  <si>
    <t>24-322</t>
  </si>
  <si>
    <t xml:space="preserve">AMEX ordered 80 packs of Glimepride with expiry 31.10.2025. Supplier delivered 78 packs with correct expiry and 2 packs with wrong expiry of 02.2025 but shipping documents showed all 8ß packs as one batch with 31.202.2025 expiry </t>
  </si>
  <si>
    <t>Supplier warehouse error</t>
  </si>
  <si>
    <t>Supplier was alerted and correct packs were sent</t>
  </si>
  <si>
    <t>24-323</t>
  </si>
  <si>
    <t>eraaber</t>
  </si>
  <si>
    <t>Pfizer</t>
  </si>
  <si>
    <t>Responsible OP organized a keep cool transport with FF KN from Vienna to Ashgabat Airport (CPT). Flight was booked with respective temp. 2-8°C, but during the transit period there was a temperature deviation that occurred on September 09, 2024 and goods were exposed to storage conditions of up to +11.5 °C for 3 days 19 hours 30 minutes (total time). 
For the second delivery (replacement of above mentioned products + additional quantitites, there was a temprature deviatoin in the warehouse of UPS(Pfizer). Dataloggers showed that temperature went down to +2°C for 1 day. There is the release letter from Pfizer Quality Team confirming that the second delivery is fine and products are good to use.</t>
  </si>
  <si>
    <r>
      <rPr>
        <b/>
        <sz val="11"/>
        <color rgb="FF000000"/>
        <rFont val="Calibri"/>
        <family val="2"/>
      </rPr>
      <t xml:space="preserve">ongoing
</t>
    </r>
    <r>
      <rPr>
        <sz val="11"/>
        <color rgb="FF000000"/>
        <rFont val="Calibri"/>
        <family val="2"/>
      </rPr>
      <t>The primary root cause of the temperature excursion was exposure to ambient temperatures beyond the recommended range during critical stages of transit. Specifically:
Inadequate Temperature Control During Transit Phases:
During the build-up and loading stages at Frankfurt Airport, the shipment was exposed to ambient conditions where temperatures ranged between 19 and 29 degrees Celsius. The lack of a fully temperature-controlled environment during these phases allowed temperatures to exceed the critical threshold of 8 degrees Celsius.
Extended time in ambient conditions during the handling and loading stages further exacerbated the temperature rise, leading to prolonged exposure above the acceptable temperature range.
Environmental and Route-Specific Variables:
The transit route, involving multiple layovers, posed inherent environmental challenges, particularly during seasonal temperature peaks. Additionally, freight forwarder reliance on ambient warehouses and the lack of consistent temperature control during layovers increased vulnerability to excursions.
Packaging Insufficiency for High-Risk Routes:
Standard packaging used for this shipment was not optimized for routes with variable external conditions, contributing to the inability to maintain stable internal temperatures throughout the shipment journey.</t>
    </r>
  </si>
  <si>
    <t xml:space="preserve">Corrective Actions:
1. Immediate Disposal and Replacement:
The affected goods were deemed unfit for use and the client was informed.
Replacement goods (24 vials with an additional 27 vials as stock) were sourced and shipped directly to the customer to ensure continuity of supply.
2. Training and Compliance Update:
The OP Team and warehouse staff received refresher training focused on strict compliance with packaging and temperature management instructions, ensuring all handling steps meet the specified requirements.
Preventive Actions:
1. Validated Packaging Solutions for High-Risk Shipments:
AMEX has collaborated with validated box manufacturers to secure safer, temperature-controlled packaging options, suitable for diferent seasonal conditions.
These validated packaging solutions will be kept in stock and designated for shipments with higher risks of temperature deviation.
2. Enhanced Risk Assessment Process:
OP Specialists will continue to perform a detailed risk assessment for all shipments on routes known for temperature variability or logistical complexities.
This assessment will evaluate temperature control risks at each transit point, allowing preemptive identification of shipments that require additional safeguards or specialized packaging.
</t>
  </si>
  <si>
    <t xml:space="preserve">The OP specialist requested stability confirmation from the manufacturer. On 23-Sep-2024 the manufacturer confirmed that medication is not good for use due to temperature deviation. On the same date, the OP specialist informed the customer that goods should be destroyed. 
The OP specialist secured replacement goods (24vilas replacement + 27 vials as additional stock) and shipped them directly from supplier’s warehouse to the customer. The goods arrived on 05-Oct-2024. </t>
  </si>
  <si>
    <t>24-324</t>
  </si>
  <si>
    <t>ravila</t>
  </si>
  <si>
    <t>Becton Dickinson</t>
  </si>
  <si>
    <t>PAHO</t>
  </si>
  <si>
    <t>Becton Dickinson shared a safety notice for product BD BACTEC™ MGIT™ 960 PZA Kit, as the batch supplied to AMEX for project 20222385 may intermittently produce falsely resistant results. 
Item code: 245128
Batch: 3128412
MFG date: 11.05.2023
EXP date: 21.09.2024</t>
  </si>
  <si>
    <t xml:space="preserve">out of AMEX scope, manufacturer related </t>
  </si>
  <si>
    <t>TBD</t>
  </si>
  <si>
    <t>PAHO was alerted on this and they will confirm if the end user used the faulty batch</t>
  </si>
  <si>
    <t>24-325</t>
  </si>
  <si>
    <t>Ezand</t>
  </si>
  <si>
    <t>Liger Medical</t>
  </si>
  <si>
    <t>The customer MAUL received one shipment including probes, batteries and chargers, however they notified AMEX and FF beforehand to split the shipping documents for non-DG (probes, chargers) and DG goods (batteries).
On 03.10.2024 the customer MAUL filed a complaint and asked for CAPA report, as the undeclared batteries resulted in additional shipping costs for MAUL.</t>
  </si>
  <si>
    <t xml:space="preserve">Misunderstanding between MAUL (customer) and AMEX regarding splitting a shipment into DG and non-DG goods. It was not clearly communicated from MAUL that they also wanted a physical separation from the DG goods to the non-DG goods. Cargo was received as one shipment by the GW warehouse in the US. The whole cargo was stored with a single reference. MAUL requested AMEX to split the shipping documents, which was done by responsible OP, but it was not physically splitted as two seperate shipments, nor the warehouse was notified to split it. From the customers request to split the shipping documents, it was not clear for AMEX that also the goods needed to be physically shipped seperately. At later stage FF wanted to pick up only non-DG goods, but since all goods were stored with only one reference number, the warehouse handed over all goods (incl. DG goods). </t>
  </si>
  <si>
    <t>Up to now no financial impact on AMEX</t>
  </si>
  <si>
    <t xml:space="preserve">Quality specialist and OP immediately initiated an investigation (04.10.2024), following was done:
1.	The communication between MAUL and AMEX OP, between warehouse and FF and between OP and warehouse was reviewed
2.	Root cause was identified
3.	Immediate actions are not applicable, since cargo is already delivered.
4.	Preventive actions were identified </t>
  </si>
  <si>
    <t xml:space="preserve">Immediate actions are not applicable, since cargo is already delivered.                                               Preventive actions in the future:
1.	OP will clarify with the customer if separate shipment is required in case separate shipping documents will be requested.
2.	OP will use different pick-up references for splitted shipping documents and give clear instructions to the warehouse. </t>
  </si>
  <si>
    <t>24-326</t>
  </si>
  <si>
    <t>icastro</t>
  </si>
  <si>
    <t>Szabo</t>
  </si>
  <si>
    <r>
      <rPr>
        <sz val="11"/>
        <color rgb="FF000000"/>
        <rFont val="Calibri"/>
        <family val="2"/>
        <scheme val="minor"/>
      </rPr>
      <t xml:space="preserve">Sales shared an internal document for this project that did not include temperature restrictions. During the OP process for shipping to CP, responsible OP was informed that the item requires a storage temperature of -80°C. </t>
    </r>
    <r>
      <rPr>
        <sz val="11"/>
        <rFont val="Calibri"/>
        <family val="2"/>
        <scheme val="minor"/>
      </rPr>
      <t>Responsible OP was unaware that this temperature could not be maintained at CP until OP was informed by AMEX warehouse manager. The item can only be stored at -20°C for a maximum of 5 days, which compromises its reliability.</t>
    </r>
  </si>
  <si>
    <t xml:space="preserve">The internal documentation did not clearly indicate the temperature restriction, and it's also uncertain whether this information was communicated to the Sales team. When the Operations Specialist received the Packing List with the temperature requirement noted, it did not raise a red flag—likely due to a lack of awareness that the warehouse has limitations in handling temperature-sensitive items for extended periods.
</t>
  </si>
  <si>
    <t>3,387.48</t>
  </si>
  <si>
    <t>Sales should always double-check storage/shipping temperature with the supplier,  include storage restrictions in the internal documents and emphazise temperature restrictions during handover process. Moreover, it’s essential that both Sales and OP are fully aware of the temperature ranges that the warehouse can accommodate.  AMEX had to repurchase the goods, as the initial batch was not suitable for delivery to the customer. This issue was not the responsibility of the manufacturer.</t>
  </si>
  <si>
    <t>24-327</t>
  </si>
  <si>
    <t>Sanofi, Novo Nordisk</t>
  </si>
  <si>
    <t>Customer reported small temperature deviations, after they have received the shipment (2-8°C)</t>
  </si>
  <si>
    <t>Datalogger reports show small temperature deviations only (+9,2°C), for a few hours.</t>
  </si>
  <si>
    <t>Shared datalogger reports with both suppliers.   Both confirmed that the goods are good to use</t>
  </si>
  <si>
    <t>COMEN</t>
  </si>
  <si>
    <t>20230704-3</t>
  </si>
  <si>
    <t>Disinfection unit was not offered, even though the IFU included a desinfection device. UNDP is requesting to receive this ozone disinfection unit as the hospitals cannot start using the supplied NF5 device until they have it.</t>
  </si>
  <si>
    <t>It was not included in RFQ, but also not mentioned by COMEN that it is mandatory to have this additional device (from different manufacturer) for disinfection. Another issue is the registration of the XD100 (disinfection unit) in Belarus and that this device has no CE and also not most of the required documents for registration.</t>
  </si>
  <si>
    <t>COMEN will donate and deliver 20 units as compensation as soon the problem with registration is resolved in the country</t>
  </si>
  <si>
    <t>In progress</t>
  </si>
  <si>
    <t>24-328</t>
  </si>
  <si>
    <t>During UNDP Belarus registration procedure for this case, which is in process since beginning of 2024, UNDP is checking each detail very acribic, and UNDP Belarus realized and requested to confirm the full warranty scope. Unfortunately, manufacturer Comen warranty including only replacement of spare parts at the time the offer has been submitted, but UNDP requires full warranty, which has to be covered by AMEX (engineer cost / repair service cost) which may occur during the warranty period. AMEX confirmed to UNDP by letter to cover also for repair service.</t>
  </si>
  <si>
    <t xml:space="preserve">UNDP RFQ was including service maintenance, while AMEX offered only 2 yrs. manufacturer warranty.  
The manufacturer Comen was not able to perform it fully because of the political situation in Belarus, but to provide only replacement of spare parts.
</t>
  </si>
  <si>
    <t>An internal training on the topic of Warranty will be conducted for UNDP BU operations and sales specialists. Training will be organized by Miria Raaber and Charlotte Bernard.</t>
  </si>
  <si>
    <t>ongoing (Training planned to be conducted by end of Q3)</t>
  </si>
  <si>
    <t>24-329</t>
  </si>
  <si>
    <t>KAPLAN</t>
  </si>
  <si>
    <t>Responsible OP person submitted the request for the batch review to quality team without pointing out the temperature excursion as per the datalogger readings. Quality team didn't see the temperature excursion either and issued the batch review certificate. The temperature excrusion was detected by Quality team when the goods were being repacked in the warehouse. 
The temperature deviation occured on 15th October to 12 degrees and on 16th October to 14 degrees.</t>
  </si>
  <si>
    <t xml:space="preserve">The FF was requested to investigate the incident and advise on its causes. According to FF, the first temperature excursions occured on the 15th of October when the cargo was transferred between two aircrafts in Frankfurt airport. The second temperaute excursion occured on the 16th October during the transfer from the pharma warehouse to the FF's TCV truck. FF was requested to advise preventive measures to avoid such incidents in the future.  </t>
  </si>
  <si>
    <t>The Quality Specialist has confirmed the stability and safety of the medicinal products despite the temperature deviation. The OP Lead will coordinate with the sales team to increase inbound expenses for shipments from the US, allowing the OP team to charge for validated boxes when necessary. These issues are more common during the winter months when temperatures are low.</t>
  </si>
  <si>
    <t>24-330</t>
  </si>
  <si>
    <t>jsanguino</t>
  </si>
  <si>
    <t>ERBA</t>
  </si>
  <si>
    <t>MSF</t>
  </si>
  <si>
    <t xml:space="preserve">During shipment freight forwarder was not able to mantain shared temperature of goods as there were variations on temperature during transit. </t>
  </si>
  <si>
    <t>freezer in truck was not able to keep conditions during freight as there was a misconfiguration on refrigerated box</t>
  </si>
  <si>
    <t xml:space="preserve">Operations specialist shared deviation with forwarder and requested CAPA report on refrigerated trucks and improvement on transport conditions </t>
  </si>
  <si>
    <t>24-331</t>
  </si>
  <si>
    <t>i+solutions</t>
  </si>
  <si>
    <t xml:space="preserve">During the inbound shipment from supplier Tanner, temperature deviation has been recorded. Product in transit was Naloxone HYDROCHLORIDE spray 4 mg  in 0.1 mL and shipment has been booked as GDP 15-25 degrees shipment. Pallet has been wrapped in thermal blanket. During the transit temperature dropped to 12,6 degrees which lasted for several hours. We identified that the excursion happened during the flight itself. </t>
  </si>
  <si>
    <t>Airplane has a lower compartment controlled by thermostatic heating, with optional cooling for the aft lower lobe. This aircraft is known for its strong temperature control in the lower deck during flight. However, at higher altitudes, temperatures can drop significantly, and the system may take some time to adjust and bring the temperature back under control. This can take several hours, particularly in extreme conditions. Thermal blankets are intended as a temporary solution, not a long-term one, especially for products with strict temperature tolerance.</t>
  </si>
  <si>
    <t>Freight forwarder has been contacted to provide explanation why the deviation happened and supplier to confirm if product can be used. Freight forwarder provided an explanation, based on which we should consider validated boxes instead of thermal blankets in the future. As per confirmation from the supplier, goods are good to be released for further use.</t>
  </si>
  <si>
    <t>24-332</t>
  </si>
  <si>
    <t>Rovi Biotech</t>
  </si>
  <si>
    <t xml:space="preserve">During the inbound procedure KN customs agent noticed a discrepancy between supplier information on the import permit and invoice from supplier. On the import permit 103569994 supplier is stated to be Alloga UK, however, invoice is issued by Rovi Biotech. </t>
  </si>
  <si>
    <t xml:space="preserve">As per our understanding supplier in the import permit application should be listed as per information on the packing list. Rovi Biotech works with warehouse Alloga UK which is issuing all packing lists. Therefore we have filled the application accordingly. However, as invoice is issued by the supplier who is selling the product, Rovi Biotech, there was a discrepancy between invoice, packing list and import permit. </t>
  </si>
  <si>
    <t xml:space="preserve">KN customs department requested AMEX to provide explanation on official letterhead which was shared with suitable customs agent. This explanation has been accepted. </t>
  </si>
  <si>
    <t>24-333</t>
  </si>
  <si>
    <t>ldulanto / ezand</t>
  </si>
  <si>
    <t>Chemi - Pharma</t>
  </si>
  <si>
    <t>Medical Access Uganda</t>
  </si>
  <si>
    <t>3 units of liquid Soap, 20L each, were damaged during the transport from Cargo Partner to Enttebe. The damage was caused due to the weight of the pallets stuck on the containers and by the poor lashing of the pallets. MAUL requested a CAPA report for this incident.</t>
  </si>
  <si>
    <t>1. According to CP, cargo was poorly wrapped when it arrived at CP
2. Therefore, AMEX double-checked with MAUL if they agree on re-packaging of the goods by AMEX warehouse and MAUL confirmed
3. CP re-packed and loaded the goods into the containers provided by MAUL’s FF
4. Cargo was stacked because a customer advised to consolidate 3 shipments into 3 containers (see email below)
5. Repacking by AMEX warehouse was done very well into plastic wrapping; however poor lashing of the cargo and stacking might have caused damage of the 3 soap jerrycans
6. AMEX shared a credit note of 71.07 USD for the damaged goods with MAUL</t>
  </si>
  <si>
    <t>Corrective actions:
1.	AMEX shared a credit note of 71.07 USD for the damaged goods with MAUL
Preventive actions:
1. For future FCA deliveries to MAUL, AMEX OP will double-check stackability of cargo with the manufacturer and advise CP correctly on how to load the goods in the containers. 
2. If repacking of cargo is needed again, AMEX will advise (via photo) with MAUL, if re-packed goods are stable for shipping
3. MAUL’s FF should implement a critical control point at pick-up of the goods from the warehouse, to check if goods are stable for shipping</t>
  </si>
  <si>
    <t>24-334</t>
  </si>
  <si>
    <t>Avonchem</t>
  </si>
  <si>
    <t>The supplier shared a CoA stating a total shelf life of 24 months for the Sodium Hypoclorite, while on the packaging of the item the total shelf life was indicated with 18 months instead. MAUL requested a CAPA report for this incident.</t>
  </si>
  <si>
    <t>The supplier (Avonchem) experienced a mix-up with the information displayed on the CoA. This was an oversight on their part, caused by human error.</t>
  </si>
  <si>
    <r>
      <rPr>
        <b/>
        <sz val="11"/>
        <color rgb="FF000000"/>
        <rFont val="Calibri"/>
        <family val="2"/>
      </rPr>
      <t>1. Corrective action:</t>
    </r>
    <r>
      <rPr>
        <sz val="11"/>
        <color rgb="FF000000"/>
        <rFont val="Calibri"/>
        <family val="2"/>
      </rPr>
      <t xml:space="preserve"> Amex contacted Avonchem regarding the discrepancy in the expiry date; Avonchem immediately fixed the mistake on the CoA and sent the updated CoA; Amex shared the updated CoA with MAUL; 
</t>
    </r>
    <r>
      <rPr>
        <b/>
        <sz val="11"/>
        <color rgb="FF000000"/>
        <rFont val="Calibri"/>
        <family val="2"/>
      </rPr>
      <t>2.	Preventive action:</t>
    </r>
    <r>
      <rPr>
        <sz val="11"/>
        <color rgb="FF000000"/>
        <rFont val="Calibri"/>
        <family val="2"/>
      </rPr>
      <t xml:space="preserve"> It was agreed with the manufacturer that the photos of the actual batch would be sent at the time of repacking, so AMEX Operations team can cross-check information present on CoA with actual information on the product that is to be sent.</t>
    </r>
  </si>
  <si>
    <r>
      <rPr>
        <b/>
        <sz val="11"/>
        <color theme="1"/>
        <rFont val="Calibri"/>
        <family val="2"/>
        <scheme val="minor"/>
      </rPr>
      <t xml:space="preserve">1.	Corrective action: </t>
    </r>
    <r>
      <rPr>
        <sz val="11"/>
        <color theme="1"/>
        <rFont val="Calibri"/>
        <family val="2"/>
        <scheme val="minor"/>
      </rPr>
      <t xml:space="preserve">Amex contacted Avonchem regarding the discrepancy in the expiry date; Avonchem immediately fixed the mistake on the CoA and sent the updated CoA; Amex shared the updated CoA with MAUL; 
</t>
    </r>
    <r>
      <rPr>
        <b/>
        <sz val="11"/>
        <color theme="1"/>
        <rFont val="Calibri"/>
        <family val="2"/>
        <scheme val="minor"/>
      </rPr>
      <t>2.	Preventive action:</t>
    </r>
    <r>
      <rPr>
        <sz val="11"/>
        <color theme="1"/>
        <rFont val="Calibri"/>
        <family val="2"/>
        <scheme val="minor"/>
      </rPr>
      <t xml:space="preserve"> It was agreed with the manufacturer that the photos of the actual batch would be sent at the time of repacking, so AMEX Operations team can cross-check information present on CoA with actual information on the product that is to be sent.</t>
    </r>
  </si>
  <si>
    <t>24-335</t>
  </si>
  <si>
    <t>ezand/ ldulanto / icastro</t>
  </si>
  <si>
    <t>20222414-3</t>
  </si>
  <si>
    <t xml:space="preserve">On 11 November 2024 FHI 360 PQC incident management staff received notification from MAUL that on 06 November 2024 they had received a notice from NDA (Uganda National Drug Authority) that product IV Catheter 20G, 0.9mm Sterile w/ inj. Port &amp; Stopper (Brand Name: Venflon 2 Pnk 20GA IV Canula) with batch number 3342763 manufactured by BD and supplied by AMEX did not comply to ISO 10555(1-5) and ISO 11074 specifications with respect to Bond between Hub and Needle. </t>
  </si>
  <si>
    <t>BD confirmed that there was indeed an issue with the "Bond between Needle and Hub", as reported in the complaint. The root cause is most likely related to manufacturing process (molding). The mold cooling may have been
causing the low pull force issue. Further investigation was initiated to appropriately address the issue as a
definitive root cause has not been identified.</t>
  </si>
  <si>
    <t>Immediate action:
1.	Amex contacted BD regarding the product quality issue and requested an investigation on their end
2.	Amex reached out to FHI 360 to cross-check if standard ISO 11074 was relevant for the supplied item and to ask for a detailed report from the NDA regarding this incident, as only a short letter (without detailed information) was provided by FHI 360
3.	BD investigated the issue and confirmed that it was a manufacturing defect (molding). The mold cooling may have been causing the low pull force issue. Further investigation was initiated to appropriately address the issue as a definitive root cause has not been identified.
4.	The goods were withdrawn from circulation and destroyed.
5.	AMEX issued a credit note of 567.52 USD to MAUL to cover the full costs of the cannulas
6.	AMEX requested a credit note from BD (request is still pending)
Preventive action:
1.	BD will implement preventive measures and quality checks in advance to identify manufacturing defects before the products are delivered to customers.</t>
  </si>
  <si>
    <t>15.05.2025</t>
  </si>
  <si>
    <t>24-336</t>
  </si>
  <si>
    <t>On 14.11.24 Gebruder Weiss (FF) picked up the cargo from Schachnger to ship it to Uganda. The cargo was to arrive to the consignee on the 20th November. On the 22nd November the customer advised the cargo did not arrive in the country.  AMEX informed FF about the missing shipment on the same day. On the 25th November FF advised AMEX that they cannot find the cargo anywhere. On the 26th November the truck driver found and retrieved the cargo from another warehouse, but could not advise on the type of warehouse (pharma, non-pharma) and what kind of other cargoes were stored there. The cargo was returned to Schachinger on the same day. According to DL reports, there were no temperature excursions. The photos showed no damages. Later FF confirmed it was non-GDP warehouse used for storage of electronics. Quality decided it was safe to ship the same cargo to the customer.</t>
  </si>
  <si>
    <t>The incident was under investigation by FF: SOPs, emergency docs plus checklist incl. appropriate staff instructions not reviewed and updated for aquite some time. Full report available.</t>
  </si>
  <si>
    <t>To be calculated</t>
  </si>
  <si>
    <t>FF provided CAPA report suggesting improvements of their internal control over shipments in different stages of delivery:
GW SOP and instructions of vendorinternally updated (get pictures of the unloading every time for future shipments implementedget pictures of the unloading every time for future shipments implemented), GW scheduled vendor audit for April 2025</t>
  </si>
  <si>
    <t>24-337</t>
  </si>
  <si>
    <t>Cosmed</t>
  </si>
  <si>
    <t>AMEX FF Potus Group delivered treadmills to several locations in Ukraine. One end user in location Pavlohrad notified AMEX that they received one damaged unit - packaging was damaged, too. The  local engineer of AMEX local partner confirmed that treadmil is functioning and it´s only esthetical damage. 
Due to PO closure by Dec 2024, AMEX was obliged to fix it urgently. However, second issue came - replacement parts for repair were shipped from supplier´s premises in Italy to a Ukraine hospital (to the consignee/receiver) and got stuck at customs. the consignee couldn't custom clear the shipment. This shipment was on hold at customs - which means, the repair process was on hold for weeks and was finalized  in february 2025.</t>
  </si>
  <si>
    <t xml:space="preserve">The root cause most likely happened due to  transportation or wrong packaging by manufacturer. 
Customs issue: receiver should have been AMEX local partner, not the hospital or UNDP. They are unable to custom clear the shipment. </t>
  </si>
  <si>
    <t>AMEX Local partner (engineer) was sent to the site in Pavlohrad to evaluate the damage. It was confirmed that the unit is functioning and damage is only visual/esthetical. 
AMEX FP has ordered replacement parts for fixing the estethical damage by  the local partner. The supplier Cosmed shipped the box back to Italy and resent to Ukraine again to Cosmed local partner to be able to import  the package. The repair was finished in  February  2025.</t>
  </si>
  <si>
    <t>24-338</t>
  </si>
  <si>
    <t>24-339</t>
  </si>
  <si>
    <t>Roche</t>
  </si>
  <si>
    <t xml:space="preserve">The end user asked AMEX to replace one (out of 5) Cobas H 232 unit, because the equipment has reached the maximum lifetime (= max. number of tests (5000) performed). The machine was not functioning anymore and Roche confirmed that the machine will be replaced - as this is under warranty it should be done without any charges.
Then, ´´suddenly´´ the customer requested 5 units free of charge from AMEX. This was out of scope of AMEX-UNDP agreement as the other 4 units were still functioning.  
Ongoingly, there was a request on side from end user to support them with a donation for water purification (pump) which they couldn´t procure and didn´t have any budget opened for this. AMEX FP went into discussion with Roche and agreed to donate it on costs of Roche as well.
</t>
  </si>
  <si>
    <t xml:space="preserve"> Customer was not aware of the max. lifetime of the equipment even though stated clearly in AMEX offer.</t>
  </si>
  <si>
    <t xml:space="preserve">Based on good relationship with Roche for this project, AMEX FP managed to negotiate and get 5 units free of charge for UNDP Algeria (at no costs for AMEX, only AMEX's time investment).
</t>
  </si>
  <si>
    <t>24-340</t>
  </si>
  <si>
    <t>Aurobindo</t>
  </si>
  <si>
    <t xml:space="preserve">We have booked direct SEA shipment from Aurobindo (India) to UNDP in Turkmenistan. Goods were DG keep cool products therefore temperature controlled shipment has been booked. After delivery customer reported that data loggers are showing temperature deviation. Temperature went above 8 degrees several times with highest temperature 14 degrees. </t>
  </si>
  <si>
    <t xml:space="preserve">Temperature deviation occurred at Poti Port due to the unit's defrost operation. This deviation is a result of the defrosting mechanism, which involves the introduction of heat into the refrigerated space to melt ice buildup. During this cycle, the internal temperature can rise above the optimal storage temperature.
The defrosting operation is essential to protect the unit from ice buildup and ensure it maintains the optimal temperature for product storage. Additionally, regular defrost cycles are critical to the longevity and efficiency of the refrigeration unit, preventing potential malfunctions and maintaining overall performance.
</t>
  </si>
  <si>
    <t>After receiving data logger report from the customer, I have asked manufacturer to confirm if goods are still good to be used. Manufacturer confirmed that there is no impact on the goods and both products can be released to the patient. At the same time, we have asked freight forwarder for detailed clarification where any why the deviation happened and to provide CAPA from their side. Waiting for their feedback and CAPA.</t>
  </si>
  <si>
    <t>24-341</t>
  </si>
  <si>
    <t>Ldulanto</t>
  </si>
  <si>
    <t>Chemonics</t>
  </si>
  <si>
    <t xml:space="preserve">During tender stage Avonchem offered a 96% HPLC Ethanol version to AMEX. After placing the PO and receiving the order confirmation Avonchem informed AMEX that they are unable to supply Ethanol 96% HPLC, which was at that time 4 weeks after placing the PO. </t>
  </si>
  <si>
    <t>Avonchem assumed that the end user doesn't need the purity of the HPLC Ethanol version, but rather a less pure Ethanol version (= manufacturers mistake).</t>
  </si>
  <si>
    <t xml:space="preserve"> Clear feedback was given to Avonchem to avoid that the same issue is happending in the future</t>
  </si>
  <si>
    <t>24-342</t>
  </si>
  <si>
    <t>Jricker</t>
  </si>
  <si>
    <t>Intertek</t>
  </si>
  <si>
    <t>Goods are going to Uganda, however, Uganda requires a PVOC (pre-inspection certifcation). There were two issues that happened: 1) the PVOC is only valid for Uganda for 90 days. This was unknown to AMEX, so the PVOC had to be redone. This is because the Green Light process for IAEA takes several months, so the inital PVOC was not longer valid. 2) there are different PVOCs that are necessary for the different types of cargo. While the General Cargo PVOC was successful, the DG PVOC was denied and had to be reordered 3 times. All of these failed as well, because on the goods themselves the lot number and expiration date were not listed so PVOC-issuing company Intertek refused to certify the DG shipment. As such, the General Cargo and DG goods need to be separately announced and shipped, causing both a delay to the customer and additional financial costs to them and to AMEX for the multiple times the PVOC inspection appointments had to be scheduled. In the end, the DG Goods were cancelled (value of 900 €) as it was uncertain if they could ever been certifited for the pre-inspection and the General Cargo goods were announced on 17 December 2024. Once IAEA's Freight Forwarder gets the green light, then AMEX will organize another pre-inspection of the General Cargo goods so that they can be shipped within 30 days an successfully imported into Uganda.</t>
  </si>
  <si>
    <t>Fundamental mismatch between PVOC (pre-inspection certifcation) validity period for Uganda specifically and IAEA as a customer and how long it takes for them to issue the green light. Additionally, lack of knowledge on OP part of PVOC specifics for Uganda.</t>
  </si>
  <si>
    <t>about 2100 €</t>
  </si>
  <si>
    <t>Improving OP training on pre-inspection process for different types of goods and specifically for countries that require pre-inspection as part of the clearance process</t>
  </si>
  <si>
    <t>17.12.2024</t>
  </si>
  <si>
    <t>24-343</t>
  </si>
  <si>
    <t>ESCO South Africa</t>
  </si>
  <si>
    <t xml:space="preserve">All items were offered from one supplier, ESCO South Africa. Originally, the INCOTERM with customer IAEA was FCA Fischamend, AT. However, since the final destination is South Africa and the goods were being shipped from ESCO in Singapore, it makes little financial or enviornmental sense to ship the goods from Singapore to Austria, announce them as ready here, and then have them sent to South Africa, so AMEX asked the customer IAEA if AMEX could instead change the INCOTERMS to FCA South Africa. ESCO also has a location in South Africa so they even agreed to ship the goods from Singapore to South Africa and then AMEX could declare readiness as FCA pick-up from ESCO South Africa's warehouse. IAEA agreed to this as it would save on shipping costs. However, as the final destination of the goods was South Africa, according to ESCO, we had to process the order through ESCO South Africa office instead of ESCO Singapore. It was only realized later that this meant that because the goods were "local" (that is, being bought and sold within South Africa), ESCO South Africa needed to charge AMEX 15% South African VAT on the goods (even though they were shipped from Singapore). AMEX tried talking with ESCO Singapore, ESCO South Africa, IAEA, and AMEX's Accounting team to see if there was any way to not be charged the 15% VAT from ESCO South Africa but this was unavoidable according to ESCO South Africa's lawyers. This initiated a long conversation with IAEA about revising the PO to include the 15% VAT costs from ESCO South Africa, as if AMEX  just absorbed the costs, there would be a financial loss on this order. After months of back and forth, IAEA finally agreed in a gesture of goodwill to increase the value of the order by 15% so that AMEX would not suffer a financial loss. </t>
  </si>
  <si>
    <t xml:space="preserve">Lack of OP knowledge. Should have known that if goods were being sold by a company based in South Africa with the final destination being in the same country (South Africa), then the VAT costs would apply. Needed to have fully discussed the issue with the customer beforehand and made the call to accept the VAT costs (or not) before the order was placed with the vendor. Ultimately, should have simply offered FCA Fischamend, AT instead of changing INCOTERMS to FCA South Africa, even though the environmental and logistics costs were higher. Internal lack of clarity within ESCO about processes and different people responsible for different things. </t>
  </si>
  <si>
    <t>Improving OP training and onboarding regarding "local producrment", that is, when purchasing and delivering goods within the same country. Additionally, note and comment added to Vendor Card 37710 for ESCO South Africa warning users to confirm if their order is with ESCO Singapore or ESCO South Africa prior to the order being placed on 23 April 2025.</t>
  </si>
  <si>
    <t>23.04.2025</t>
  </si>
  <si>
    <t>24-344</t>
  </si>
  <si>
    <t>Metrohm</t>
  </si>
  <si>
    <t>Offered a lead time of 14-16 weeks for the whole project (11 vendors) when the lead time from vendor Metrohm (dist for Huber) was 26 weeks. This led to disappointment from the customer when we informed them about delaying the shipment at the order stage.</t>
  </si>
  <si>
    <t xml:space="preserve">Sales colleague did not double check the lead time of all vendors before the offer was made. </t>
  </si>
  <si>
    <t xml:space="preserve">Explained situation to customer and tried to manage expectations of when goods could be delivered realistically. They begrudgingly accepted. </t>
  </si>
  <si>
    <t>24-345</t>
  </si>
  <si>
    <t>MP Biomedicals Germany GmbH</t>
  </si>
  <si>
    <t>AMEX only offered 1 Homogenizer instead of the requested 2 at the Sales stage and this was not realized by the customer during the evaluation process of the offer nor by the OP colleague when the order was placed. The supplier MP Biomedicals did note that they had initially quoted 2 of these items and asked if AMEX indeed only needed 1 of them. The OP colleague did not check with the customer and instead confirmed that only 1 was needed, which was incorrect. The 1 item was then shipped and invoiced to the customer. It was only when the item arrived at the end-user did the end-user notice that 1 item was missing and the customer informed AMEX of this on 24/11/2023</t>
  </si>
  <si>
    <t xml:space="preserve">OP colleague did not double check with the customer when the quantity of this item was changed from the Offer to the Order stage. </t>
  </si>
  <si>
    <t>New offer sent to customer and new order placed from customer for missing item on 15/10/2024</t>
  </si>
  <si>
    <t>24-346</t>
  </si>
  <si>
    <t>TCP-Prüftechnik GmbH</t>
  </si>
  <si>
    <t>Supplier TCP-Prüftechnik GmbH is repeatedly delayed in both the shipment of items and answering clarifying questions from AMEX causing the IAEA order to be delayed by over 12 months</t>
  </si>
  <si>
    <t>Supplier capacity issue</t>
  </si>
  <si>
    <t>2000-3000 €</t>
  </si>
  <si>
    <t>In the future, this supplier should be replaced with one that is more responsive. Comments added to vendor card on Sofia on 17.12.2025. Additionally, look at doing a partial announcement of the goods that are ready.</t>
  </si>
  <si>
    <t>17.12.2025</t>
  </si>
  <si>
    <t>24-347</t>
  </si>
  <si>
    <t>Very short shelf life item (5 months) expired before AMEX could ship it DAP to the end-user.</t>
  </si>
  <si>
    <t>OP capacity issue</t>
  </si>
  <si>
    <t>AMEX explained situation to customer and ultimately got them to agree to cancel the remaining expired item.</t>
  </si>
  <si>
    <t>24-348</t>
  </si>
  <si>
    <t>ldulanto</t>
  </si>
  <si>
    <t>Fortress</t>
  </si>
  <si>
    <t xml:space="preserve">Chemonics </t>
  </si>
  <si>
    <t xml:space="preserve">PSM requested a Quality control inspection in which samples were requested and PSM sent Baltic Control to pick up the samples; Baltic Control did not ship the goods under the corresponding temperature (2-8 degrees), therefore Baltic Control needed to pick up a second batch of samples, but they were also shipped by them under an incorrect temperature. FHI opended a case to investigate Baltic control. </t>
  </si>
  <si>
    <t>During shipment by Baltic Control the temperature was not kept between 2-8°C. However, if BC shipped goods with temperature controlled shipment or not is unclear.</t>
  </si>
  <si>
    <t>It is adviced that PSM uses another freight forwarder or other professional parcel company when picking up samples. Since PSM was commissioning BC, there are no actions to be considered by AMEX.</t>
  </si>
  <si>
    <t>28/03/2025</t>
  </si>
  <si>
    <t>24-349</t>
  </si>
  <si>
    <t>Chemi pharma, Sarsted, Deltalab</t>
  </si>
  <si>
    <t>20222410 &amp; 20222414</t>
  </si>
  <si>
    <t>Cargo Partner didn't accept the returning of 3 containers that the customer needed to return back to the warehouse, resulting in extra cost for MAUL</t>
  </si>
  <si>
    <t xml:space="preserve">The root cause is not quite clear. The customer's FF picked up and loaded 3 containers including items from 4 projects, although the items were missing a PVoC inspection; reason why the goods were sent back to cargo partner, the warehouse did not want to get the goods back and unload them. </t>
  </si>
  <si>
    <t xml:space="preserve">USD 8,440.48 </t>
  </si>
  <si>
    <t>24-350</t>
  </si>
  <si>
    <t>Coloplast</t>
  </si>
  <si>
    <t>Possible sterility issue was detected in Coloplast's facility on some Coloplast products. This issue on the Coloplast devices packaging has been identified during testing. Defect is not easily visible by the users.</t>
  </si>
  <si>
    <t>Issue during the sterility process.</t>
  </si>
  <si>
    <t>Customer was informed and official documents about the safety notice were shared. Affected batches have been put into quarantine.
Internal stock was checked, affected batches detected, picked up by Coloplast and credit note was issued.</t>
  </si>
  <si>
    <t>24-351</t>
  </si>
  <si>
    <t>SÜDOSTCARGO</t>
  </si>
  <si>
    <t xml:space="preserve">UNDP </t>
  </si>
  <si>
    <t xml:space="preserve">
Datalogger report shows that the goods were not stored in the temperature range of 15-25°C after arrival at Vienna Airport. Temperature deviation both at Vienna Airport and later in transit at destination 
</t>
  </si>
  <si>
    <t xml:space="preserve">Final feedback from the handling agent and the Vienna airport was that the issue was due to a human error. As we have not experienced any financial loss, we consider this case to be closed.
</t>
  </si>
  <si>
    <t>After checking with manufacturer, received confirmation that
the products are good to use and informed 
UNDP Turkmenistan accordingly</t>
  </si>
  <si>
    <t>24-352</t>
  </si>
  <si>
    <t>N//A</t>
  </si>
  <si>
    <t>As per Amex SOP 15 - Prequalification and yearly audit of warehousing and freight forwarder partners, Amex  should be conducting annual audits of the key third parties. In 2024, Amex did not conduct audit of key contracted warehouses - Schachinger (for pharmaceuticals) and cargo-partner (for other medical items)
Referenced to deviation 25-008</t>
  </si>
  <si>
    <t>During 2024, several significant changes happend in the company - key personnel left, several CEOs changed in the timespan of 6 months, new and unexperienced personnel was assigned to Amex projects. This severely distrupt Amex daily operations and Schachinger team was working together with Amex team to solve all problems. Due to constant visits of Amex team as well as known issues that should be worked on, it was decided together with Schachinger that the audit should be done once the processes are back to normal. Absence of audit did not have any impact on Amex, due to mentioned reason - Amex team being present in the warehouse and partnering with Schachinger management and warehouse personnel.</t>
  </si>
  <si>
    <t>Setting up audit date in 2025</t>
  </si>
  <si>
    <t>24-353</t>
  </si>
  <si>
    <t>Mmazhar</t>
  </si>
  <si>
    <t>Carl Roth</t>
  </si>
  <si>
    <t xml:space="preserve">Item # T143.5 arrived broken in CP warehouse and warehouse operations team have created a clarification case (K 2460) for it. </t>
  </si>
  <si>
    <t>Damage during delivery</t>
  </si>
  <si>
    <t>Item replaced by supplier free of charge</t>
  </si>
  <si>
    <t>24-354</t>
  </si>
  <si>
    <t>UNDP Turkmenistan reported temperature deviation after product was delivered. Shipment was booked as ambient temperature shipment whenever possible but temperature dropped to 5 °C on 23.12.2024 . Temperature was constantly dropping and than rising back up for several days. It was under 15 °C from 21/12/24 01:43 and got back above the 15°C after 26/12/24 09:23.</t>
  </si>
  <si>
    <t>Freight forwarder revert back with following explanation: Based on the temperature deviations shown on the datalogger report we checked the temperature inside the truck delivering the cargo to Frankfurt airport. Given the temperature logs from the truck (loading on 19th, delivering on 23rd around lunch time) we can’t find any temperature deviation as significant as from the loggers. As this shipment was transported under passive temperature control, it is possible to have deviations between loading and unloading as no cooling is possible while those procedures.  Pallets were wrapped in thermal blankets, however, this passive solution was not sufficient for the shipping root taken.</t>
  </si>
  <si>
    <t>We have approached manufacturer to confirm if product can be released to the patient and used. At the same time, we asked freight forwarder to clarify why the deviation happened. Based on the explanation from the FF the deviation has been caused during loading and unloading as no active cooling is possible during this time.  Manfuacturer confirmed that there is no impact on quality of the product and medicine can be released to the market.</t>
  </si>
  <si>
    <t>24-355</t>
  </si>
  <si>
    <t>Medochemie</t>
  </si>
  <si>
    <t>After processing inbound quality inspection warehouse reported missing data logger.</t>
  </si>
  <si>
    <t xml:space="preserve">Medochemie didnt include data logger to the consignment. They dont have DL by themselves. AMEX is responsible to send DL to Medochemie in order Medochemie to include DLs to every delivery. However, Medochemie ran out of DLs from AMEX and didnt inform anyone. </t>
  </si>
  <si>
    <t>Medochemie was approached to clarify if DL was not included in the consginment and if not, why. Supplier confirmed DL was not included. Temperature reading from the truck was available which was used to check the temperature during the inbound delivery.</t>
  </si>
  <si>
    <t>24-356</t>
  </si>
  <si>
    <t xml:space="preserve">Supplier provided packing list with wrong expiry dates.  </t>
  </si>
  <si>
    <t xml:space="preserve">Human error on the supplier side. </t>
  </si>
  <si>
    <t xml:space="preserve">Supplier has been contacted to confirm correct information about the product and batches that were delivered and to provide revised packing list. </t>
  </si>
  <si>
    <t>24-357</t>
  </si>
  <si>
    <t>Purepharm, Tridem Pharma</t>
  </si>
  <si>
    <r>
      <rPr>
        <sz val="11"/>
        <color rgb="FF000000"/>
        <rFont val="Calibri"/>
        <family val="2"/>
        <scheme val="minor"/>
      </rPr>
      <t xml:space="preserve">As per the AWB (airway bill, issued by freight forwarder </t>
    </r>
    <r>
      <rPr>
        <b/>
        <sz val="11"/>
        <color rgb="FF000000"/>
        <rFont val="Calibri"/>
        <family val="2"/>
        <scheme val="minor"/>
      </rPr>
      <t>Gebrüder Weiss (GW)</t>
    </r>
    <r>
      <rPr>
        <sz val="11"/>
        <color rgb="FF000000"/>
        <rFont val="Calibri"/>
        <family val="2"/>
        <scheme val="minor"/>
      </rPr>
      <t xml:space="preserve">, the cargo was scheduled to arrive in Bangui (airport) on 6 December 2024. FF sent us the confirmation that the cargo was delivered to Bangui on 6 December. However, on 3 January 2025 the customer informed us that the cargo never arrived at the destination (airport Bangui). When asked to investigate, FF informed us that the cargo was still in Paris (where the connection flight by Air France to Bangui was scheduled). FF confirmed that cargo was not delivered as scheduled due to the IT failure on Air France's end. The cargo was rebooked for 10 January. FF confirmed that the in the meantime the cargo was stored in +15/+25 C warehouse (since arrival until leaving Paris).  On 13 January FF informed Amex that the cargo was delivered to Bangui on 12 January. </t>
    </r>
  </si>
  <si>
    <t xml:space="preserve">IT issue of a third party (Air France). FF never checked if the cargo was delivered to destination on time, regardless of confirming the same to Amex. </t>
  </si>
  <si>
    <t>Meeting between Amex and GW held: The incident was under investigation by FF: SOPs, emergency docs plus checklist incl. appropriate staff instructions not reviewed and updated for quite some time. 
Air France statement provided after internal investigation on their end. 
FF provided CAPA report: it was agreed that both GW and Amex will check if the shipment arrived to the end destination as scheduled.</t>
  </si>
  <si>
    <t>24-358</t>
  </si>
  <si>
    <t xml:space="preserve">HUMAN </t>
  </si>
  <si>
    <t xml:space="preserve">UNDP/ WHO </t>
  </si>
  <si>
    <t>20211693-02, 20221617</t>
  </si>
  <si>
    <t>The manufacturer, HUMAN, conducted internal evaluations following a confirmed customer complaint and identified that, in rare cases, the HumaStar 300SR, when used with GLUCOSE liquicolor reagents, may report falsely low glucose values for samples with concentrations above 450 mg/dL. The discrepancies result in readings that are 15-40% lower than the actual concentration and can lead to incorrect handling of samples exceeding the upper measuring limit of 500 mg/dL. Similar behavior was observed during internal testing on isolated HumaStar 100 and 200 systems. To resolve this issue, the manufacturer has developed an optimized settings update, which should be immediately installed on all affected devices to improve performance and ensure accurate results.</t>
  </si>
  <si>
    <t xml:space="preserve">The root cause isn’t explicitly stated as a clear technical fault like a component failure or reagent instability. Instead, the details provided hint that the issue stems from incorrect or suboptimal instrument settings 'incorrect settings or configuration discrepancies' on the HumaStar devices when used with the GLUCOSE liquicolor reagent. </t>
  </si>
  <si>
    <t>Notified Customers: AMEX informed all customers using GLUCOSE liquicolor on HumaStar 100, 200, and 300SR about the Urgent Field Safety Notice (FSN).
Provided Updated Settings: AMEX shared the updated settings database (HSB 0055) and ensured it was installed on all active HumaStar instruments (100, 200, and 300SR) promptly.
Confirmed Receipt: AMEX filled out and submitted the attached Reply Form, confirming receipt of the FSN, to support@human.de</t>
  </si>
  <si>
    <t>24-359</t>
  </si>
  <si>
    <t>Bbraun</t>
  </si>
  <si>
    <t>20221951, 20241148</t>
  </si>
  <si>
    <t>The urgent field safety notice (FSCA286) from B. Braun addresses a potential issue with AESCULAP arterial clamps. The problem identified is the risk of cracking or breakage of the instruments at the box lock during use. This defect could lead to device failure during surgical procedures, posing potential risks to patients and users.
The notice advises users to inspect the instruments before use and discontinue the use of affected batches. Affected customers are requested to acknowledge receipt of the notice and follow the recommended actions.</t>
  </si>
  <si>
    <t xml:space="preserve">The safety notice states that the root cause of the issue is a material-related defect that can lead to cracking or breaking at the box lock of the AESCULAP arterial clamps. This defect increases the risk of instrument failure during use.
</t>
  </si>
  <si>
    <t xml:space="preserve">AMEX notified customer </t>
  </si>
  <si>
    <t>25-001</t>
  </si>
  <si>
    <t>qaburayya</t>
  </si>
  <si>
    <t>Action Medeor</t>
  </si>
  <si>
    <t>FF Gebrüder Weiss (GW) informed AMEX that the shipment is on its way to Vienna (from Relonchem) on 10th of JAN. AMEX followed up and asked about the estimated time of arrival, however, GW replied on 14th of JAN saying that the Relonchem has postponed the collection of the goods due to an internal error (see more details in Root cause column).</t>
  </si>
  <si>
    <t>Relonchem informed Amex that the root cause was not an 'internal error' and GW was informed about the delay in pick up in advance. The cause of a delay was an ongoing study testing the temperature changes on the goods during transport. The FF failed to provide correct information on the shipment status and did not provide the correct reason for the shipment delay.
The incident was under investigation by FF: SOPs, emergency docs plus checklist incl. appropriate staff instructions not reviewed and updated for quite some time. Full report available.</t>
  </si>
  <si>
    <t>FF provided CAPA report confirming that the retraining of relevant personnel was performed.</t>
  </si>
  <si>
    <t>25-002</t>
  </si>
  <si>
    <t>Thera / Navi</t>
  </si>
  <si>
    <t>Navi arranged shipment (with DHL) to Amex without activated datalogger. Therefore no temperature recordings are available</t>
  </si>
  <si>
    <t>Navi didn't activate the datalogger (root cause unknown)</t>
  </si>
  <si>
    <t>This was shipped with DHL in one of our Polybox 28. Lana, Quality Specialist/Pharmacist, checked the transit route and the temperatures during transit and came to the conclusion that the product is safe to use</t>
  </si>
  <si>
    <t>25-003</t>
  </si>
  <si>
    <t>K&amp;N</t>
  </si>
  <si>
    <t>20230443-1A</t>
  </si>
  <si>
    <t>K&amp;N just randomly sent us an Invoice for the special labelling they did for this order due to DG item that was inside. We explained to them that we did properly packed and labelled and nothing special was supposed to be added (as we checked it with Roland) but they were not really willing to take the costs away. Amex decided to just pay and close the case</t>
  </si>
  <si>
    <t>K&amp;N had to inform us in advance of the costs and that they need a special labelling to be added and not just send us the Invoice and charge randomly after they collected the goods</t>
  </si>
  <si>
    <t>Agreed to be more transparent and careful with the next orders and such labelling issues</t>
  </si>
  <si>
    <t>25-004</t>
  </si>
  <si>
    <t>Merc</t>
  </si>
  <si>
    <t>20221846-1A</t>
  </si>
  <si>
    <t>Kits had a short expiry date and UNDP refused to use them for installation and we had to procure and deliver better expiration dates</t>
  </si>
  <si>
    <t>When the UNDP Po was placed it took a long time to understand where these kits can be bought (from Merc or Sigma) and who is the responsible party. It took months to place an order and items had a delay. We had to deliver the goods and we thought we just ship these little kits wiht a short expiry date and maybe it will work out. But delivery and etc took a long time, so the kits had a short expiry in the end and UNDP insisted on us buying new items</t>
  </si>
  <si>
    <t xml:space="preserve">300 EUR for the goods and 390 EUR for the shipping </t>
  </si>
  <si>
    <t>We delivered the goods for UNDP and covered all extra costs</t>
  </si>
  <si>
    <t>25-005</t>
  </si>
  <si>
    <t>MbNet</t>
  </si>
  <si>
    <t>Some pads were forgotten and the supplier had to deliver them to Ukraine and cover the costs. The local K&amp;N was very nice to offer Amex a free of charge delivery of the missing pads to the hospitals. It was a clear mistake of the supplier, but they didnt really apologize or aknowledge it. Although, in the beginning we had a very nice and cooperative talks</t>
  </si>
  <si>
    <t>Miscommunication..</t>
  </si>
  <si>
    <t>to try for next orders to be more clear in communication with the supplier</t>
  </si>
  <si>
    <t>25-006</t>
  </si>
  <si>
    <t>Vamos Medical &amp; Inform</t>
  </si>
  <si>
    <r>
      <t xml:space="preserve">The payment to turkish supplier was made in Euro, instead of Turkish Lira (TL), which resulted in complications for the turkish supplier. </t>
    </r>
    <r>
      <rPr>
        <i/>
        <sz val="11"/>
        <color theme="1"/>
        <rFont val="Calibri"/>
        <family val="2"/>
        <scheme val="minor"/>
      </rPr>
      <t>Background: For UN projects in Cyprus, payments to Turkish suppliers must be made in TL, as per the latest trade regulations between Turkey and TRNC. Payments in foreign currencies (e.g., EURO or USD) create export declaration issues, as goods must be declared in TL. If suppliers receive payment in EURO but attempt to declare goods in TL, they may face compliance issues during audits.</t>
    </r>
  </si>
  <si>
    <t>Usage of wrong currency for prepayment. Lack of knowledge regarding the recent regulation btwn two states at AMEX</t>
  </si>
  <si>
    <t>AMEX re-arranged the pre-payment in TL  and asked for first pre-payments to be refunded. Due to Buy and Sell prices (Arbitrage) AMEX lost around 500 euros to complete the transactions.</t>
  </si>
  <si>
    <t>25-007</t>
  </si>
  <si>
    <t>ezand</t>
  </si>
  <si>
    <t>Revised calibration (target) values for alkaline phosphatase for the following Human items Autocal (Item number: 13160, Lot: 0019C), Humatrol N (Item number: 13511, Lot: 0009) and Humatrol P (Item number: 13512, Lot: 0006A).</t>
  </si>
  <si>
    <r>
      <t xml:space="preserve">HUMAN's internal QA noted the necessity to improve traceability procedures for Alkaline Phosphatase opt. liquicolor, LDH SCE mod. liquiUV, Pancreas Amylase liquicolor and Phosphorus liquirapid in </t>
    </r>
    <r>
      <rPr>
        <b/>
        <sz val="11"/>
        <color theme="1"/>
        <rFont val="Calibri"/>
        <family val="2"/>
        <scheme val="minor"/>
      </rPr>
      <t>AUTOCAL 0019</t>
    </r>
    <r>
      <rPr>
        <sz val="11"/>
        <color theme="1"/>
        <rFont val="Calibri"/>
        <family val="2"/>
        <scheme val="minor"/>
      </rPr>
      <t xml:space="preserve">. Consequently, the target values for Alkaline Phosphatase opt. liquicolor, LDH SCE mod. liquiUV, Pancreas Amylase liquicolor, Phosphorus liquirapid, GOT (ASAT) IFCC mod. liquiUV and Glucose liquicolor in </t>
    </r>
    <r>
      <rPr>
        <b/>
        <sz val="11"/>
        <color theme="1"/>
        <rFont val="Calibri"/>
        <family val="2"/>
        <scheme val="minor"/>
      </rPr>
      <t>HumaTrol N and HumaTrol P</t>
    </r>
    <r>
      <rPr>
        <sz val="11"/>
        <color theme="1"/>
        <rFont val="Calibri"/>
        <family val="2"/>
        <scheme val="minor"/>
      </rPr>
      <t xml:space="preserve"> Controlsthe multi-calibrator and quality controls were also revised.</t>
    </r>
  </si>
  <si>
    <t xml:space="preserve">UNDP was informed about the revised calibration and target values and saftey notice documents were shared. </t>
  </si>
  <si>
    <t>25-008</t>
  </si>
  <si>
    <t>Cargo-partner</t>
  </si>
  <si>
    <t>As per Amex SOP 15 - Prequalification and yearly audit of warehousing and freight forwarder partners, Amex  should be conducting annual audits of the key third parties. In 2024, Amex did not conduct audit of key contracted warehouses - Schachinger (for pharmaceuticals) and cargo-partner (for other medical items)
Referenced to deviation 24-352</t>
  </si>
  <si>
    <t>Due to introduction of kitting process as well as expanding scope of the cargo-partner's service, it was agreed with cargo-partner that the audit would be done once new processes are imlplemented. Postponing of the audit did not have any consequences on the daily operations or services, as Amex Quality and Warehousing team were involved in creation of a new setup.</t>
  </si>
  <si>
    <t>25-009</t>
  </si>
  <si>
    <t>Qaburayya</t>
  </si>
  <si>
    <t>FHC</t>
  </si>
  <si>
    <t>MSF NL</t>
  </si>
  <si>
    <t>freight forwarder</t>
  </si>
  <si>
    <r>
      <rPr>
        <sz val="11"/>
        <color rgb="FF000000"/>
        <rFont val="Calibri"/>
        <family val="2"/>
        <scheme val="minor"/>
      </rPr>
      <t xml:space="preserve">Data logger readings show deviations between 25.01. and 27.01. alternating between 30.3 C and 2.9 C. </t>
    </r>
    <r>
      <rPr>
        <b/>
        <sz val="11"/>
        <color rgb="FF000000"/>
        <rFont val="Calibri"/>
        <family val="2"/>
        <scheme val="minor"/>
      </rPr>
      <t>FF Gebrüder Weiss (GW)</t>
    </r>
  </si>
  <si>
    <t>Could not determine the cause of the deviation, and supplier confirmed that good are safe to use.</t>
  </si>
  <si>
    <t>Amex contacted the supplier to confirm that the goods are not affected by this deviation, and the supplier confirmed.</t>
  </si>
  <si>
    <t>25-010</t>
  </si>
  <si>
    <t>Gima</t>
  </si>
  <si>
    <t>After delivery, the end user &amp; installation partner in the hospital reported that the nebulizer only functions when set to the maximum level ( setting ).</t>
  </si>
  <si>
    <t>During installation at the end user hospital in Gambia the installation partner Ecomed Scientific reported the problem, which is probably caused by a defect of the device. A video was provided.</t>
  </si>
  <si>
    <t>08.04.2025 SA: no financial implication so far, our buying price (PO to Gima) was 99 EURO including shipment charges from Italy to Austria</t>
  </si>
  <si>
    <t>OP specialist contacted the manufacturer GIMA to inform them about the complaint. Supplier Gima instructed us to advise the customer to send the defect device back to Gima. After informing the customer UNDP, Dr. Dolly Thomson they confirmed to proceed with sending the device on 12.12.2024. 
Follow-up email sent on 08.04.2025 to UNDP - response was that the item was not sent to the manufacturer yet.</t>
  </si>
  <si>
    <t>25-011</t>
  </si>
  <si>
    <r>
      <rPr>
        <sz val="11"/>
        <color rgb="FF000000"/>
        <rFont val="Calibri"/>
        <family val="2"/>
        <scheme val="minor"/>
      </rPr>
      <t xml:space="preserve">Complaint received from customer. Data loggers report showed temperature deviation during the shipment to Turkmenistan. Temperature dropped below 15 degrees several times. During the transit temperature dropped to 0.9 degrees on 09.02.2025 22:52. After delivery, data logger showed temperature deviation to -0.3 degrees. 
</t>
    </r>
    <r>
      <rPr>
        <b/>
        <sz val="11"/>
        <color rgb="FF000000"/>
        <rFont val="Calibri"/>
        <family val="2"/>
        <scheme val="minor"/>
      </rPr>
      <t>AIT Worldwide - freight forwarder.</t>
    </r>
  </si>
  <si>
    <t>Freight forwarder run the analyses and provided the following explanation: 
The provided timeline indicates that temperatures dropped below +15°C during loading and unloading to/from trucks/aircraft, as well as during airfreight. However, during terminal storage at RIX, VNO, and IST, temperatures either remained within or returned to the +15°C to +25°C range. At VNO, the shipment was placed in a +15°C to +25°C storage area, as evidenced by temperatures remaining in range for approximately 24 hours after receipt (from 07.02.2025 18:26 to 08.02.2025 16:02).
Root Cause Identified: Insufficient temperature-protective packaging.
Actions Suggested for Prevention: Use of more reliable temperature-protective packaging.    
We have received an explanation from the customer that temperature deviation after delivery happened during transfer of data loggers to the UNDP office.</t>
  </si>
  <si>
    <t xml:space="preserve">AMEX shared data logger reports with the manufacturer PharmIdea and they have confirmed that product can be released and used. Pharmidea provided official statement which has been shared with the customer. At the same time AMEX approached freight forwarder requesting the explanation of the root cause and plan for correction. UNDP confirmed that deviation after delivery did not impact products as it has been caused by personnel on their end during the transfer of data loggers. </t>
  </si>
  <si>
    <t>25-012</t>
  </si>
  <si>
    <t>Genetech</t>
  </si>
  <si>
    <t>I+ Solutions</t>
  </si>
  <si>
    <t>When the inbound cargo was booked by the warehouse, the datalogger provided with the shipment had no temperature readings.</t>
  </si>
  <si>
    <t>The supplier advised that "once logger is connected to computer, power system of logger will be activated, then the guaranteed shelf life will be reduced to one year, you need to use the logger ASAP. So please do not connect logger to computer if you do not plan to use the logger immediately".  The exact root cause cannot be determined as the responsible person at Schachinger is no longer working there. It can be only presumed that the person did not handle data logger properly (human error).</t>
  </si>
  <si>
    <t>The message was sent to Schachinger warehouse with the request to immediately download data from dataloggers as soon as dataloggers are connected to the computer</t>
  </si>
  <si>
    <t>17/04/2025</t>
  </si>
  <si>
    <t>25-013</t>
  </si>
  <si>
    <t>jtuerk</t>
  </si>
  <si>
    <t xml:space="preserve">Hollergschwandner </t>
  </si>
  <si>
    <t>UNIDO</t>
  </si>
  <si>
    <t>one of the glass column is broken when end-user received.</t>
  </si>
  <si>
    <t>The root cause of the broken product column is vibration or impact during transportation to the end-user.</t>
  </si>
  <si>
    <t xml:space="preserve">In the future glass related shipments will add a note/sticker for fragile or "glass" </t>
  </si>
  <si>
    <t>25-014</t>
  </si>
  <si>
    <t xml:space="preserve">Deviation </t>
  </si>
  <si>
    <t>sdenitto</t>
  </si>
  <si>
    <t>Beckman Coulter South Africa</t>
  </si>
  <si>
    <t xml:space="preserve">missing items </t>
  </si>
  <si>
    <t xml:space="preserve">Amex OP bought a "continuous low centrifuge" in October. 
During the sales phase, both centrifuge and protocol for installation were quoted. Once everything was delivered, it was noted that 5 mandatory accessories for installation were missing, and it was realized only three weeks before the installation. Moreover, the supplier had only 2 engineers within the whole company that are able to do the installation. In addition to this, the supplier didn’t check that there were internal restrictions (company rules) regarding travels for installation leading to additional loss of two weeks. The entire situation caused customers considering cancelling part of the PO (actually 300 000 USD) or to cancel the centrifuge (100 000 USD). </t>
  </si>
  <si>
    <t xml:space="preserve">The supplier overlooked part of the PO considering installation. It was confirmed by them that the project was lead by an unexperienced, newly joined person. </t>
  </si>
  <si>
    <t>5505,9  EUR</t>
  </si>
  <si>
    <t xml:space="preserve">Extra pump and tubing was sent to the customer by DDP shipment (5505,9 €). Managers informed, set up weekly meetings with client and pushed supplier multiple times a day with phone calls, email and meeting.  </t>
  </si>
  <si>
    <t>25-015</t>
  </si>
  <si>
    <t xml:space="preserve">
The outer case of the product 1 piece of  "Vortex Mixer" arrived broken at the end users site (Laboratory in Toba Tek Singh in Pakistan). After first repair the end user informed AMEX about not functioning touch mode. </t>
  </si>
  <si>
    <t xml:space="preserve">The supplier Biobase shared a video with the local partner who visited the end user and fixed the touch mode of Vortex Mixer.
</t>
  </si>
  <si>
    <t>25-016</t>
  </si>
  <si>
    <t>SKant</t>
  </si>
  <si>
    <t>On 23-Jan-2025, the warehouse personel performed inbound of the shipment of Pyridoxine 50mg, tablets from SKant. On 13-Feb-2025, OP specialist sent an email to confirm the received quantity for the batch number WPY24013. The warehouse personnel confirmed the quantity is 3392, 2 more packs than stated on the packing list. On 25-Feb-2025, the warehouse personnel sent an email to reconfirm the quantities for batch WPY24013, 3390. The quantites were correct on the packing list and they made a mistake during counting at the inbound. Item code: 39026-WHOPQTB401</t>
  </si>
  <si>
    <t xml:space="preserve">Human error. The warehouse personnel mixed up the numbers on the packing list. </t>
  </si>
  <si>
    <t>Schachinger Quality department informed. Re-training will be conducted</t>
  </si>
  <si>
    <t>25-017</t>
  </si>
  <si>
    <t>ntomasevic</t>
  </si>
  <si>
    <t>Venipharm</t>
  </si>
  <si>
    <r>
      <rPr>
        <sz val="11"/>
        <color rgb="FF000000"/>
        <rFont val="Calibri"/>
        <family val="2"/>
      </rPr>
      <t xml:space="preserve">Data logger report showed a temperature peak at 5.9 degrees. The temperature stayed below 15 degrees for a short period of time of approx. 1 h.
</t>
    </r>
    <r>
      <rPr>
        <b/>
        <sz val="11"/>
        <color rgb="FF000000"/>
        <rFont val="Calibri"/>
        <family val="2"/>
      </rPr>
      <t>Sudost cargo - FF.</t>
    </r>
  </si>
  <si>
    <t>Tempereture deviation occured during loading.</t>
  </si>
  <si>
    <t xml:space="preserve"> Supplier was asked to confirm that they have stability studies done to ensure that product can still be used, which they did.</t>
  </si>
  <si>
    <t>25-018</t>
  </si>
  <si>
    <r>
      <rPr>
        <sz val="11"/>
        <color rgb="FF000000"/>
        <rFont val="Calibri"/>
        <family val="2"/>
      </rPr>
      <t xml:space="preserve">Short-term tempereture deviation occured during transport. 2 peaks were observed at 28.6 nad 30, 8 degrees. Temeprature declined below 25 degrees after approximeately 10 minutes.  
</t>
    </r>
    <r>
      <rPr>
        <b/>
        <sz val="11"/>
        <color rgb="FF000000"/>
        <rFont val="Calibri"/>
        <family val="2"/>
      </rPr>
      <t>Sudost cargo - FF.</t>
    </r>
  </si>
  <si>
    <t>Could not determine the cause of the deviation, but it was a short-term deviation that did not affect the goods.</t>
  </si>
  <si>
    <t>Supplier was asked to confirm that they have stability studies done to ensure that product can still be used, which they did.</t>
  </si>
  <si>
    <t>25-019</t>
  </si>
  <si>
    <t>Crescent Pharma</t>
  </si>
  <si>
    <t>FF organized by Supplier. Data logger report showed a temperature peak at 10.3 degrees. The temperature stayed below 15 degrees for a few hours.</t>
  </si>
  <si>
    <t>25-020</t>
  </si>
  <si>
    <t>Südost Cargo</t>
  </si>
  <si>
    <t>Temperature deviations during outbound</t>
  </si>
  <si>
    <t>According to our freight forwarder, their GDP partner at Vienna Airport mistook the check-in point for this shipment.
Unfortunately, this resulted in the shipment missing its originally scheduled flight. We have been assured that shipment was kept into controlled temperature handling center and was rerouted to the right check in point at the airport. By the time second flight took off, the polyboxes could not keep temperature anymore.</t>
  </si>
  <si>
    <t xml:space="preserve">We have approached manufacturer to confirm if product can be released to the patient and used. Manfuacturer shared stability tests of the product confirming this. At the same time, we asked freight forwarder to clarify why the deviation happened. FF shared report as descibed in column L (how/why). </t>
  </si>
  <si>
    <t>25-021</t>
  </si>
  <si>
    <t>Euromed Pharma</t>
  </si>
  <si>
    <t>Batch quantities did not match the quantities on a packing list sent by supplier</t>
  </si>
  <si>
    <t>23.01.2025 Inbound email with checked packing list was received: 1) Carbamazepine, 200mg (Sofia item number: 36469-21880/0255 Total quantity 2,059). Batch quantities provided at inbound (booked in Sofia): B40981/ Qty: 14 and B40878/ Qty: 2045. 2) Diclofenac (sodium), 50mg, tablet (Sofia item number: 36469-21880/0194, Total quantity 1945). Batch quantities provided at inbound (booked in Sofia): D40472/ Qty: 1.785 and D40344/ Qty: 160.
29.01.2025 Packing details received (goods are now packed and ready for shipment), however WH stated that Batches B40981 and D40344 do not exist at all, but that the total quantity is correct. I pointed out that it’s not possible, since Inbound email had checked packing list. Outbound team was unable confirm since Inbound team was on sick leave.
27.02.2025 Request from warehouse to change packing list and batch quantity details. They checked pallets again and realized that there was another small package with mixed batches. They send me corrected number from their system.
Batch quantities provided afterwards for Carbamazepine: B40981/ Qty: 19 and B40878: Qty: 2,040. Batch quantities provided afterwards for Diclofenac: D40472/ Qty: 1,921 and D40344/.Qty: 24</t>
  </si>
  <si>
    <t>We have requested from warehouse to provide PL from supplier with corrected numbers, so we can inform customer, correct BR certificate and can track batches in case any issue upon delivery occurs.
Schachinger Quality department informed. Re-training will be conducted</t>
  </si>
  <si>
    <t>25-022</t>
  </si>
  <si>
    <t>AMEX shipped correct product but the wrong pack size to the customer.</t>
  </si>
  <si>
    <t xml:space="preserve">Responsible OP person did not cross-check all information on SO and PO. The item card in Sofia had two pack sizes under the same no;  OP person booked pack size of 28 and the customer requested pack of 60. </t>
  </si>
  <si>
    <t xml:space="preserve"> GBP 2,040.00</t>
  </si>
  <si>
    <t>OP person was reminded by the more experienced colleague to always cross-check both SO and PO. Additionally, Sofia was updated to differentiate pack sizes of the same product
Taken the above into account, no further actions are needed</t>
  </si>
  <si>
    <t>25-023</t>
  </si>
  <si>
    <t>lzhao</t>
  </si>
  <si>
    <t xml:space="preserve">Losberger </t>
  </si>
  <si>
    <t>We were informed by the customer that one fluid bag (Item 7) is missing. The order is for 3, and all the documentation is for 3. But the end-user received only 2.
On Mon 8/5/2024 Amex got the final confirmation from the customer to add a fluid bag from 2 to 3 and sent an email to the supplier.
On Tue 8/6/2024 Received the confirmation that supplier managed to add one pcs of fluidbag in the packing list and invoice from the supplier all stated 3 Pcs in the package.
On Tuesday, 8/6/2024, Asked CP to pick up from the supplier's warehouse. Unchanged any shipping package.
On 1/10/2024 Asked CEVA logistic to make DAP shipment.
On 24/01/2025 Shipment delivered to the end-user and we received the feedback that one fluid bag is missing. Informed the supplier on the same day. 
On 06/02/2025 Received the feedback from the supplier to ship one fluid bag to the CP warehouse.
On 10/03/2025 We shipped one fludi bag to the customer via TNT.
On 31/03/2025 Delivered to the end-user.</t>
  </si>
  <si>
    <t>The supplier updated the quantity from 2 to 3 in their system when they received a request from our side. Unfortunately, they did't communate well with their warehouse to prepare an additional fluid bag physically in the warehouse.</t>
  </si>
  <si>
    <t xml:space="preserve">We shipped one missing fluid bag to the end-user via TNT directly. </t>
  </si>
  <si>
    <t>31/03/2025</t>
  </si>
  <si>
    <t>25-024</t>
  </si>
  <si>
    <t>Celtrion</t>
  </si>
  <si>
    <t>Customer informed us that one pack was damaged and not accepted. They sent photos and asked if it can be replaced or have credit note issued. 
Note: Deviation 25-029 is a duplicate of this one</t>
  </si>
  <si>
    <t xml:space="preserve">When the goods arrived in Vienna from the supplier, we received no reports that anything was damaged. Packs were then sent for repacking, and no damage was reported by Warehouse in this stage as well. Since the pallet shippers that arrived to the end destination were not damaged, the pack was probably damaged through process of repacking. The person responsible for repacking left the company in the meantime, therefore we did not manage to clarify whether damaging occured during the repacking (and to confirm the root cause). </t>
  </si>
  <si>
    <t xml:space="preserve"> 128.73 USD</t>
  </si>
  <si>
    <t>Since the shipment of additional pack was not feasable (high costs), CO accepted credit memo.</t>
  </si>
  <si>
    <t>25-025</t>
  </si>
  <si>
    <t>Innovative Diagnostics</t>
  </si>
  <si>
    <t>IOM</t>
  </si>
  <si>
    <t>Keep cool shipment was shipped without a data logger to IOM.</t>
  </si>
  <si>
    <t xml:space="preserve">AMEX OP FP didn´t request adding data logger in the dispatch order. </t>
  </si>
  <si>
    <t>1. Checking with AMEX FF how was the shipment delivered and when was the shipment stored outside of required temperature 2-8°C.
2. AMEX FP contacted manufacturer for stability report and statement.
3. AMEX FP informed Sales and OP team to always include data loggers for future IOM temp.sensitive shipments.
Manufacturer confirmed that the goods are stable up to 30°C . Customer was informed by AMEX and didn´t return with any further request.</t>
  </si>
  <si>
    <t>25-026</t>
  </si>
  <si>
    <t>Ethypharm, Purepharm</t>
  </si>
  <si>
    <t>N/A (Deviation on the internal process)</t>
  </si>
  <si>
    <t>On 31/03/2025, the Austrian Regulatory Authority, department responsible for controlled drugs, sent the Amendment Request for the Compliance Report for the Reporting Year 2024 to the Responsible Person. The amendment report referred to the exceeded maximal yearly quantities for handling narcotics, Buprenorphine and Tramadol.</t>
  </si>
  <si>
    <t xml:space="preserve">The SOP 2 Handling of Cytotoxic, Cytostatic and Controlled Drugs, version 3, section 4.2.4.1.1 Tracking of maximum allowed amount of handled controlled drugs, was misinterpreted. The “addition” is not an accurate translation of “Zugänge (Inlandsbezüge)”. The Quality Specialist missinterpreted the guideline and calculated only import quantites in this case. The understanding of “addition” was: If supplier by mistake sends any additional quantities of the controlled drug. Therefore the quantities were counted only once, instead of twice  . </t>
  </si>
  <si>
    <t>CAPA plan needed</t>
  </si>
  <si>
    <t xml:space="preserve">Preventive measures:
1.	Update the SOP to provide a clearer definition of how the maximum quantity is calculated, including a more specific explanation of the term “addition (domestic purchase).” We aim to finalize this SOP update by 30.04.2025.
2.	Enhance CDs tracker to more accurately monitor narcotic quantities, enabling better visibility of usage data. We aim to finalize this update by 30.04.2025.
Corrective measures: 
No corrective measures can be taken, as a retrospective increase in the license for 2024 is no longer possible
</t>
  </si>
  <si>
    <r>
      <rPr>
        <sz val="11"/>
        <color rgb="FF000000"/>
        <rFont val="Calibri"/>
        <family val="2"/>
        <scheme val="minor"/>
      </rPr>
      <t xml:space="preserve">Preventive measures:
1.	Update the SOP to provide a clearer definition of how the maximum quantity is calculated, including a more specific explanation of the term “addition (domestic purchase).” We aim to finalize this SOP update by 30.04.2025.
2.	Enhance CDs tracker to more accurately monitor narcotic quantities, enabling better visibility of usage data. We aim to finalize this update by 30.04.2025.
</t>
    </r>
    <r>
      <rPr>
        <i/>
        <sz val="11"/>
        <color rgb="FF000000"/>
        <rFont val="Calibri"/>
        <family val="2"/>
        <scheme val="minor"/>
      </rPr>
      <t xml:space="preserve">SOP updated and version 3 effective as of 29-Apr-2025
</t>
    </r>
    <r>
      <rPr>
        <sz val="11"/>
        <color rgb="FF000000"/>
        <rFont val="Calibri"/>
        <family val="2"/>
        <scheme val="minor"/>
      </rPr>
      <t xml:space="preserve">
Corrective measures: 
No corrective measures can be taken, as a retrospective increase in the license for 2024 is no longer possible
</t>
    </r>
  </si>
  <si>
    <t>25-027</t>
  </si>
  <si>
    <t>aperera</t>
  </si>
  <si>
    <t>Macleods</t>
  </si>
  <si>
    <r>
      <rPr>
        <sz val="11"/>
        <color rgb="FF000000"/>
        <rFont val="Calibri"/>
        <family val="2"/>
        <scheme val="minor"/>
      </rPr>
      <t xml:space="preserve">Temperature deviations during transit for Artesunate Powder Solution for Injection 60mg. The product is 15-25, and there was a temperature deviation of 7 degrees from 4:00am to 7:00am (rose to 32 degrees and then dropped back down to 25). 
</t>
    </r>
    <r>
      <rPr>
        <b/>
        <sz val="11"/>
        <color rgb="FF000000"/>
        <rFont val="Calibri"/>
        <family val="2"/>
        <scheme val="minor"/>
      </rPr>
      <t>Freight forwarder - Eastern cargo</t>
    </r>
  </si>
  <si>
    <t xml:space="preserve">Deviation occured during loading at origin - we checked and have determined it was from time of loading on site and the delivery to the airport.  A non-temperature controlled truck was used to deliver the goods from supplier warehouse to airport (regardless of Amex request for the temperature controlled truck). We were not aware of this and have asked the forwarder to ensure it does not happen again. </t>
  </si>
  <si>
    <t>Approached the manufacturer regarding the deviation, they said the product was still viable and could be used. Have asked the forwarder to ensure future shipments are with temp controlled truck</t>
  </si>
  <si>
    <t>25-028</t>
  </si>
  <si>
    <t>cmanu</t>
  </si>
  <si>
    <t>Booking.com</t>
  </si>
  <si>
    <t>Apartment was booked in advance for an intern that cancelled the trip. Booking.com did not refund the money due to late cancellation.</t>
  </si>
  <si>
    <t>The appartment was booked with a cancellation policy of 7 days prior the stay instead of a 24 h cancellation policy.</t>
  </si>
  <si>
    <t>AMEX tried to negotiate with booking.com as well as with the hotel, but only some discounts for future bookings were negotiated.</t>
  </si>
  <si>
    <t>25-029</t>
  </si>
  <si>
    <t>Celltrion</t>
  </si>
  <si>
    <t>The customer resported that one of the packages were damed and not acceptable for use anymore.</t>
  </si>
  <si>
    <t>This order was shipped in large shipper pallets, therefore could not have been damaged during shippment. The damage occured probably during repacking stage, which had to be done twice as warehouse did not follow the inital repacking orders.</t>
  </si>
  <si>
    <t>We issued credit memo for this 1 package</t>
  </si>
  <si>
    <t>25-030</t>
  </si>
  <si>
    <t>Data logger report showed temperature deviation ranging from 8 to 14 degrees throught transport with lowest peak at  3.6 degrees.</t>
  </si>
  <si>
    <t>Ovelle orginized freight as per agreed terms. The goods arrived in our warehouse in GDP certified truck, however non-temperature controlled.</t>
  </si>
  <si>
    <t>25-031</t>
  </si>
  <si>
    <t>Accord</t>
  </si>
  <si>
    <t>UNDP reported temperature deviation to 13.4 °C. Product supplied during this shipment has been ambient temperature product with no special storage requirements as stated by the manufacturer. Shipment has been book 15-25°C shipment whenever possible. Product was palletised and pallet was wrapped with thermal blanket.</t>
  </si>
  <si>
    <t xml:space="preserve">Due to the low temperature at the end destination during unloading from the plane, temperature inside of the boxes dropped to 13 degrees. Packaging material was not sufficient for this weather conditions. </t>
  </si>
  <si>
    <t>Manufacturer was contacted to confirm if product can be released for further use which was confirmed and official statement has been shared with UNDP.</t>
  </si>
  <si>
    <t>25-032</t>
  </si>
  <si>
    <t>UNDP reported temperature deviation after products under INV25-00592 have been delivered. Shipment has been organised based on instructions from supplier Pfizer as product has been packed in validated pallet shipper. In order not to face temperature shock, initial pick up has been organised with temperature controlled truck set up to 15-25°C and the rest of the shipment was under temperature  2-8°C whenever possible.  Temperature measured by data loggers has been under 2°C during the whole transit time. The temperature excursion that occurred on April 07, 2025 was subjected to storage conditions down to +0.1 C for 2 days 5 hours 30 minutes. Goods were in transit for 4 days.</t>
  </si>
  <si>
    <t xml:space="preserve">Temperature recording showed that temperature was very stable during the whole transit but never reached 2°C.  Supplier confirmed that shipment has been booked correctly and goods were transported in the correct way given the stable temperatures. Supplier conducted analysis on potential causes and revert back with the following statement:                                                                                                                              -	The frozen gel packs were potentially not taken out and de-frosted for 50 minutes before being put inside the Fripal with the product. This is something Quality will follow up internally with the warehouse operators.
The warehouse in Hungary only has one size validated Fripal in stock for use of cold chain products by air. No smaller sizes as confirmed by the LSP managers separately are available for smaller quantity orders, and therefore the fill rate between gel packs and the amount of product can be more difficult to manage with low quantity orders below the recommended fill rate. </t>
  </si>
  <si>
    <t>Supplier was contacted to confirm if product can be used and released to patients. Supplier confirmed there is no impact on product and product can be used. Supplier confirmed that quality departmetment will check if the work instructions were followed, and the operators were fully trained. This is a part of the internal checks and follow up.</t>
  </si>
  <si>
    <t>25-033</t>
  </si>
  <si>
    <t>mmurillo</t>
  </si>
  <si>
    <t>Promega</t>
  </si>
  <si>
    <t>I sent Promega three orders, stating that the items were intended for IAEA Laboratories. They responded angrily, repeating that they only sell within Austria and cannot sell to us.
For another project in Algeria, I also sent them a PO, which they later canceled. I didn’t pursue the matter further, as I mistakenly mentioned that the end destination was not in Austria.</t>
  </si>
  <si>
    <t xml:space="preserve">I then sent them a screenshot of the IAEA PO, which clearly states that the final destination is IAEA Seibersdorf Laboratories. They then requested that all items be combined into a single order, which I did and shared with them again. However, one month later, they informed me that they would not be selling us the goods.
I then approached my Sales contact to discuss alternative sources for this item or a similar one. In December, I requested offers from various suppliers, including Thermo Fisher. 
I eventually sent Thermo the PO for the 3 items, along with the EUS for Seibersdorf and the PO for Algeria with the required EUS. Thermo went silent, and only in March did they send me a response from their Export Team regarding the cancellation of these 2 orders.
(Please let me know if I should forward you the Emails)
I finally agreed with IAEA that we would move to a similar item from another supplier, Qiagen in this case. 
</t>
  </si>
  <si>
    <t>25-034</t>
  </si>
  <si>
    <t>HEMC</t>
  </si>
  <si>
    <t>Plan International</t>
  </si>
  <si>
    <t>On 27/03/2025, the CEO of Amex met with the Supply Director of Plan International, who noted that Amex had experienced a delay with the first delivery to them.</t>
  </si>
  <si>
    <t>Delay was caused by the restricted flights from India to Benin, which was communicated to the customer upfront. Size of the cargo was approximatelly 8 pallets, which made shipping with commerical flights impossible and Amex had to wait for the first flight available that would be able to fit this size of the cargo. This caused the delay of 15 days.</t>
  </si>
  <si>
    <t>1.	Amex learned that flights for Benin are restricted, especially considering bigger cargo – this is something we will consider for the future projects (at the moment we do have PO for Benin)
2.	Amex will have a meeting with our freight forwarders and their local partners, to better understand logistic required for the country, which would help us with better planning
3.	Amex should share thorough communication on cargo status and share timeline which include transit time</t>
  </si>
  <si>
    <t>25-035</t>
  </si>
  <si>
    <t xml:space="preserve">On 15/04/2025, Promega informed Amex about suspension of deliveries due to compliance requirements. </t>
  </si>
  <si>
    <t>Root cause was identified as Promega not alway being aware of the end destinations for their products.
After months of trying to establish a contact with Promega, it was decided that no relationship will be renewed and Promega would be replaced with another supplier.</t>
  </si>
  <si>
    <t>25-036</t>
  </si>
  <si>
    <t>ltussing</t>
  </si>
  <si>
    <t>Quantox</t>
  </si>
  <si>
    <t>Missing functions from 22/04 Afternoon to 23/04 Morning - including Create offer button which prevented Sales Specialists from Creating the Offer</t>
  </si>
  <si>
    <t xml:space="preserve">After an unscheduled deployment all customizations needing an extension in Business Central dissapeared, thus sales specialists not being able generate Offers from BC. </t>
  </si>
  <si>
    <t>Subsequently as a preventive plan for future unscheduled deployments, they will be done at noon time and will have one AMEX User as well as a Quantox User to verify Integrity of the Standard Business Processes after successful deployment.</t>
  </si>
  <si>
    <t>25-037</t>
  </si>
  <si>
    <t>Multiple suppliers</t>
  </si>
  <si>
    <t>Multiple customers</t>
  </si>
  <si>
    <t>Multiple projects</t>
  </si>
  <si>
    <t>On 24.02.2025 AMEX received following notification from Pharma warehouse:
''Unfortunately, we have had an overtemperature in our warehouse in Hagenbrunn in halls I+J, where your products are stored. 
The highest temperature was 28.5 °C (sensor MP11 O 3, Hall J)
Affected was the upper part of the hall (from about the middle of the hall to the roof).
The alarm first occurred on 22.04.2025 at 23:45 in the night.
The temperatures have been stable again since around 10:30 am (23.04.2025) and are within the target range. ''</t>
  </si>
  <si>
    <t>The warehouse shared inestigation report ABW 114/2025. :
During the handling of a larger order, the large door of Cold Storage Room G was opened several times within a short period on Friday (September 26, 2025), causing the temperature inside the cold room to rise.
At the time of the incident, the on-call person was unable to respond to the alarm.
The temperature alarm was reviewed on Monday (September 29, 2025), and a deviation was identified.
As an immediate measure, an information sheet (Beilage 3) was posted on October 14, 2025, at the large door of Cold Storage Room G.
It describes how the physical handling of the door opening should be carried out in the future to ensure that as little warm ambient air as possible enters the cold room.
All products affected by the temperature deviation (goods delivered between Friday and Tuesday, as well as goods still in storage) were assessed by the respective customers regarding their quality. The deviation had no impact on the quality of the affected products.
The following actions were implemented
The site management (SM) has been designated in the system as the backup for the Vienna North location. As a result, the SM automatically receives notifications about pre-alarms and alarms to ensure an uninterrupted flow of information. Additionally, the backup is documented in the current deployment list, which is stored on the central drive and accessible to all relevant parties. These measures guarantee immediate responsiveness in the event that the primary responsible person is unavailable.</t>
  </si>
  <si>
    <t xml:space="preserve">1.	Inform Schachinger to move all relevant items to quarantine.
2.	Notify the AMEX Pharma team and share the list of items placed in quarantine.
3.	Request Schachinger’s support in reviewing the quarantined items and identifying the storage conditions for each. Items with a storage condition of “up to 30°C” should be released from quarantine. Schachinger should also provide a list of all items that remain in quarantine.
4.	The Operations team should follow up with suppliers for each affected item to confirm whether the product is still safe for use.
5.	Request a CAPA report from Schachinger.
</t>
  </si>
  <si>
    <t>CAPA requested from Schachinger</t>
  </si>
  <si>
    <t>25-038</t>
  </si>
  <si>
    <t>Venus Remedis</t>
  </si>
  <si>
    <t xml:space="preserve">UNDP has reported that the truck carrying 28 pallets sent by AMEX has arrived in Turkmenistan. However, an additional box of Carboplatin, which was not ordered by UNDP, was included in the shipment. This item belongs to our framework oncology stock intended for UNICEF. The box was retained by customs and could not be returned to Austria due to the absence of shipping documentation. UNDP confirmed that box contained 25 packs of Carboplatin. </t>
  </si>
  <si>
    <t>Person responsible no longer working at the warehouse, cannot be determined</t>
  </si>
  <si>
    <t>225.25 USD</t>
  </si>
  <si>
    <t>1. Requested confirmation from UNDP that the Carboplatin shipment will be officially destroyed.
2. Requested Schachinger team to inspect and verify the stock.
3. Requested the Schachinger team to investigate the incident and provide a detailed explanation of how the error occurred.</t>
  </si>
  <si>
    <t>25-039</t>
  </si>
  <si>
    <t>vchohan</t>
  </si>
  <si>
    <t>Strides Pharma</t>
  </si>
  <si>
    <t>On April 27, 2025, a temperature deviation occurred during the international transit of a pharmaceutical shipment from Strides Pharma to Vienna for customer PAHO (Project 20240278). 
The affected product was Tacrolimus 1 mg, packed in 100-capsule bottles, with a total shipment quantity of 288 bottles.
The temperature requirement for this product is 15°C to 25°C. However, during a layover in Dubai, while awaiting loading onto Emirates Airline to Vienna, the temperature rose to 28.3°C and remained above the acceptable range for a duration of 3 hours, from 12:09 to 15:09.
The deviation was discovered upon receipt of the goods at our Vienna warehouse through review of the temperature data logger report.
On May 08, 2025, the supplier provided a confirmation from the manufacturer stating that the product quality was not compromised by the temporary temperature excursion and that it remains suitable for use. This confirmation was submitted to the Quality department for review and approval.</t>
  </si>
  <si>
    <t>The deviation occurred while the shipment was in transit and temporarily stored in Dubai. The likely cause was exposure to uncontrolled ambient conditions during the layover and loading period. We were in contact with the freight forwarder to clarify handling procedures during this time and confirm the root cause.</t>
  </si>
  <si>
    <t xml:space="preserve">On May 01, 2025, an email was sent to the supplier (Bhavya) requesting either a stability study report or a written confirmation from the manufacturer confirming that the product remains suitable for use.
On May 08, 2025 - Supplier (Bhavya) sent an email confirmation that the product remains stable within the defined range and is suitable to use. </t>
  </si>
  <si>
    <t>25-040</t>
  </si>
  <si>
    <t>Multiple suppliers (not connected to DCR)</t>
  </si>
  <si>
    <t>20242065, 20241280, 20241859, 20250605</t>
  </si>
  <si>
    <t xml:space="preserve">UNDP organised shipment in order to collect goods for multiple orders ready for Turkmenistan. Shipment has been organised by 2 dedicated temperature-controlled trucks. Warehouse employees and customs office were instructed as per procedure about the collection and details and documents were provided. On the collection day, 1 truck showed up earlier than the other, and warehouse workers loaded goods in the truck 1, and later to the truck 2. AMEX staff failed to emphasize to the warehouse workers which products should be loaded to which truck (based on the plate numbers). This led to the situation that goods were not loaded to the truck as mentioned in the export documents. </t>
  </si>
  <si>
    <t>Plate numbers were provided within the email chain but AMEX employees didn't point out additionally to the warehouse workers which goods should be loaded to the which truck (based on plate numbers).</t>
  </si>
  <si>
    <t xml:space="preserve">Freight forwarder provided acceptable solution for this shipment where in colaboration with Slovenian customs documents were corrected. </t>
  </si>
  <si>
    <t>25-041</t>
  </si>
  <si>
    <t>Collection for UNDP shipment has been executed on 13.05.2025. Under this collection, several shipments have been included therefore multiple sets of shipping documents were available. Under packing list SHP25-00812 / invoice INV25-00774, 4 pallets were supposed to be shipped. On 15.05.2025 warehouse employee reported that 1 pallet out of 4 were left in the warehouse. On 05.06.2025 warehouse employee reported one more pallet out of 4 as left in the warehouse.</t>
  </si>
  <si>
    <t>Due to the human error and higher number of pallets that were included in this shipment, two pallets have been overlooked and left in the warehouse.</t>
  </si>
  <si>
    <t xml:space="preserve">Customer UNDP has been informed about the situation and revised documents have been shared with the customer in order for them to be able to apply for new import permit. Freight forwarder has been informed and freight forward took needed steps to make sure goods can leave EU without any problems. Two separate replacement AIR shipments have been organised and warehouse has been asked to cover the costs. </t>
  </si>
  <si>
    <t>25-042</t>
  </si>
  <si>
    <t>Bio-RAD</t>
  </si>
  <si>
    <t>Bio-RAD informed Amex about important product information related to Platelia Toxo IgM, product code 72841. In the notice, it was noted that three batches were impacted (4F0052, 4F0053 and 4L0054). Issue concerned occurance of false positive results.
Cross checking the database, it was noted that one of impacted batches (4L0054), was delivered to WHO Afganistan. The customer was informed about the safety notice and acknowledgmenet was reieved on 25th May. Signed confirmation was sent back to the supplier day after.</t>
  </si>
  <si>
    <t>Customer informed about the safety issue
Signed confrimation sent to supplier</t>
  </si>
  <si>
    <t>25-043</t>
  </si>
  <si>
    <t>cbernard</t>
  </si>
  <si>
    <t>ABRONN</t>
  </si>
  <si>
    <t>We delivered Box ambulances to Ukraine manufactured by ABRONN in Jebel-Ali (UAE). The request was sent by WHO to AMEX during the emergency procurement phase specifying EN 1789 standard. We had only few days to make an offer and the lead times needed to be very fast. We had procured from ABRONN before without too much issues (or fixable). Box ambulances is a difficult category and we did not have experience at the time, it was our first procurement for this type of ambulances. During the procurement  WHO changed their procurement process and increased quality expectation . Overall, the ambulances delieverd did not meet the quality standards and safety standards. The quality of the build was very bad and AMEX had to mandate several service providers to fix them. After a long period of negotiations with WHO, a contract of repair with a clear scope of work was signed . AMBULANCEMED was mandated to fix the units which was a succesful operation and the case was closed by WHO.</t>
  </si>
  <si>
    <t xml:space="preserve">Poor quality of the work done by the supplier (ABRONN), dishonesty of the supplier that made inspection difficult. WHO also took advantage of the situation. </t>
  </si>
  <si>
    <t>430,800 EUR</t>
  </si>
  <si>
    <t>a service partner was mandate to fix the units
a contract with a clear scope was signed with WHO</t>
  </si>
  <si>
    <t>25-044</t>
  </si>
  <si>
    <t xml:space="preserve">
203058870 
203058865 
</t>
  </si>
  <si>
    <t xml:space="preserve">Major delays and bad quality of the delivered Abronn box ambulances (safety concerns , stability , clearance). AMEX had to fix with lcoal teams and Technical manager in 2 hubs : Dakar and Nairobi. Operation was succesful and case was closed. </t>
  </si>
  <si>
    <t xml:space="preserve">Poor quality of the work done by the supplier (ABRONN), dishonesty of the supplier that made inspection difficult. </t>
  </si>
  <si>
    <t>35000 EUR</t>
  </si>
  <si>
    <t>assessments visist and repair visists by local partners and AMEX technical Manager (rpyoos)</t>
  </si>
  <si>
    <t>25-045</t>
  </si>
  <si>
    <t>Intersurgical</t>
  </si>
  <si>
    <t>It has been identified that 167 boxes (containing 1002 units) of the BVM Resuscitator, Adult, 1.5L Bag, Size 5 Mask were manufactured without one of the rear valves specified in the FSCA and FSN. Specifically, the missing valve controls the entrainment of atmospheric air. Its absence may lead to dilution of the oxygen concentration, resulting in reduced delivered FiO₂. While this does not affect the device’s ability to provide adequate ventilation, it compromises its capability to deliver higher oxygen concentrations as outlined in the Instructions for Use. This could potentially have a negative impact on clinical outcomes during CPR.
after furher investigation, it was confrimed that the delivered products do not have defect valve and it was confrimed by the supplier that those products can be released for use</t>
  </si>
  <si>
    <t>Root cause can not be determined as the issue occured on the supplier's side.</t>
  </si>
  <si>
    <t>UNDP was informed about the safety notice.</t>
  </si>
  <si>
    <t>25-046</t>
  </si>
  <si>
    <t>Sance</t>
  </si>
  <si>
    <t>20180188-121</t>
  </si>
  <si>
    <t>Upon receipt and inspection of the shipment at Syria warehouse, customer reported a shortage of 35 pieces from batch number 4320004 (Cefuroxime)</t>
  </si>
  <si>
    <t>Schachinger packed box with wrong quantity, containing 15 instead of 50 units.</t>
  </si>
  <si>
    <t>Missing items were sent in one of the following shipments - corrective action</t>
  </si>
  <si>
    <t>25-047</t>
  </si>
  <si>
    <t>MSN Laboratories</t>
  </si>
  <si>
    <t>action medeor</t>
  </si>
  <si>
    <r>
      <rPr>
        <sz val="11"/>
        <color rgb="FF000000"/>
        <rFont val="Calibri"/>
        <family val="2"/>
        <scheme val="minor"/>
      </rPr>
      <t>When delivering the 15-25 C product from Vienna airport to Schachinger warehouse, the freight forwarder (</t>
    </r>
    <r>
      <rPr>
        <b/>
        <sz val="11"/>
        <color rgb="FF000000"/>
        <rFont val="Calibri"/>
        <family val="2"/>
        <scheme val="minor"/>
      </rPr>
      <t>Sudost Cargo</t>
    </r>
    <r>
      <rPr>
        <sz val="11"/>
        <color rgb="FF000000"/>
        <rFont val="Calibri"/>
        <family val="2"/>
        <scheme val="minor"/>
      </rPr>
      <t>) provided a 2-8 C truck by mistake. As a result there was a temperaturre escursion to 14.3 C</t>
    </r>
  </si>
  <si>
    <t xml:space="preserve">The truck driver conditioned the cargo compartment incorrectly. </t>
  </si>
  <si>
    <t>FF will retrain the driver</t>
  </si>
  <si>
    <t>25-048(24-001)</t>
  </si>
  <si>
    <t>28.11.2024</t>
  </si>
  <si>
    <t>damony</t>
  </si>
  <si>
    <t>WH Temperature excursion</t>
  </si>
  <si>
    <t xml:space="preserve">Temperature spike occurred during the warehouse prequalification and temperatures exceeded 25 degrees in many warehouse locations. The HVAC was running, but not cooling. 
</t>
  </si>
  <si>
    <t>The power grid failed, the generator immediately switched on and powered the HVAC, but it did not cool the warehouse. The repeated restarting caused further delays in the memory reset</t>
  </si>
  <si>
    <t>None, as the warehouse was empty at the time of qualification</t>
  </si>
  <si>
    <t xml:space="preserve">The HVAC was restarted several times. The Supplier BESMO Kenya was contacted
An electrician assessed the problem and confirmed it was not an electrical problem. </t>
  </si>
  <si>
    <t xml:space="preserve">The supplier confimred that after each swithc over of power from the power grid to the generator power or vice versa, there us a 30min memory reset period. A 30 minute delay after every changeover of power will be written into the HVAC SOP.
</t>
  </si>
  <si>
    <t>NONE</t>
  </si>
  <si>
    <t>20.12.2024</t>
  </si>
  <si>
    <t>25-049 (24-002)</t>
  </si>
  <si>
    <t xml:space="preserve">The raw data of the WH temperature logger reports during warehouse mapping were labelled WH 23 instead of 24 and 24 instead of 23. This was corrected in the names of the electronic files. 
</t>
  </si>
  <si>
    <t>Possible human error</t>
  </si>
  <si>
    <t xml:space="preserve">This was corrected in the names of the electronic files. </t>
  </si>
  <si>
    <t xml:space="preserve">The error was corrected in the naming of the electronic files
</t>
  </si>
  <si>
    <t>25-050 (25-001)</t>
  </si>
  <si>
    <t>13.01.2025</t>
  </si>
  <si>
    <t>Warehouse temperatures exceeded 25 degrees on all locations at various times between 05.12.2024 and 13.01.2025</t>
  </si>
  <si>
    <t>Planned deviation: HVAC was not switched on</t>
  </si>
  <si>
    <t>None, as the warehouse did not hold any stock of medicines or medical devices that require temperatures below 25 degrees.</t>
  </si>
  <si>
    <t xml:space="preserve">None required. </t>
  </si>
  <si>
    <t>None required</t>
  </si>
  <si>
    <t>25-051 (25-002)</t>
  </si>
  <si>
    <t>20.01.2025</t>
  </si>
  <si>
    <t>Warehouse temperatures exceeded 25 degrees on all locations at various times between 19.01.2024  and  22.01.2025</t>
  </si>
  <si>
    <t>Planned deviation: HVAC was  switched off due to a delay in the delivery of the first shipment</t>
  </si>
  <si>
    <t>22.01.2025</t>
  </si>
  <si>
    <t>25-052 (25-003)</t>
  </si>
  <si>
    <t>30.01.2025</t>
  </si>
  <si>
    <t>Alpha Medical</t>
  </si>
  <si>
    <t>IFRC</t>
  </si>
  <si>
    <t>20242897</t>
  </si>
  <si>
    <t>10ml syringes purchased for this project did fully meet the Amex quality requires for category Class II items. The document documents did not meet the requirements of SOP 33 Product and Supplier Evaluation (non-pharma)</t>
  </si>
  <si>
    <t>The Sales and Operations Specialist did not have a proper understanding of the quality requirements stipulates in the SOP.</t>
  </si>
  <si>
    <t xml:space="preserve">None. The items is a component of the IFRC ORP kit, it will be used as an oral dosing device not a hypodermic syringe. Hence it was deemed that there was no risk to the users. </t>
  </si>
  <si>
    <t xml:space="preserve">A detailed training program has been descibed in the training matrix for the role of the Sales Specialist. </t>
  </si>
  <si>
    <t>25-053 (25-004)</t>
  </si>
  <si>
    <t>21.02.2025</t>
  </si>
  <si>
    <t xml:space="preserve">The warehouse temperatures for 3 locations for the period of 15.02.2025 to 21.02.2025 were erroneously deleted during the configuration of data loggers for the hot season temperature mapping of the warehouse.
</t>
  </si>
  <si>
    <t>User error</t>
  </si>
  <si>
    <t>None. The data collected from the locations since 13.01.2025 and 14.02.2025, indicate that the HVAC controls the warehouse temperatures adequately. All other locations recorded in the missing window period, were well below 25 degrees.</t>
  </si>
  <si>
    <t>22.02.2025</t>
  </si>
  <si>
    <t>25-054 (25-005)</t>
  </si>
  <si>
    <t xml:space="preserve">The temparature and humidity records for all locations in WH 24 shall not be recorded for the period of hot season temperature mapping of WH 23 which is scheduled from 21.02.2025 to 04.2025
</t>
  </si>
  <si>
    <t>None. Planned deviation</t>
  </si>
  <si>
    <t>None. Historical data indicates that the temperatures in this loacation are well controlled by the qualifiied HVAC. There are no pharmaceuticals stored in bin locations in WH 24.</t>
  </si>
  <si>
    <t>25-055 (25-006)</t>
  </si>
  <si>
    <t>20.02.2025</t>
  </si>
  <si>
    <t>Batch release of medicines was delayed for all medicines received into the warehouse.</t>
  </si>
  <si>
    <t>1. Some goods received required clarifications that have been captured in the respective Goods Inspection Checklists 
2. Ongoing set up of the SOFIA (ERP), warehouse module which also required user training of AMEX Kenya staff.</t>
  </si>
  <si>
    <t>25-056 (25-007)</t>
  </si>
  <si>
    <t>19.02.2025</t>
  </si>
  <si>
    <t>One damaged bottle of 37779-20416/0262 LEVETIRACETAM CRESCENT 100 MG/ML ORAL SOLUTION was found in the warehouse</t>
  </si>
  <si>
    <t>A shipment of this item was received on 13.02.2025. The bottle may have been damaged during transportation or during handling in the warehouse.</t>
  </si>
  <si>
    <t>USD 10.77</t>
  </si>
  <si>
    <t>The damaged item was moved to BIN Location F110 and marked as REJECTED.
The item shall be held in the rejected goods location until an appropriated time for disposal as per the SOP KE-01 Handling of Pharmaceutical Waste and SpillagesHandling of Pharmaceutical Waste and Spillages</t>
  </si>
  <si>
    <t>25-057 (25-008)</t>
  </si>
  <si>
    <t>07.03.2025</t>
  </si>
  <si>
    <t>During the hot season temperature mapping, one datalogger recorded an abnormally high temperature on 07.03.2025 at 13:24 that remained abnormally high until 15:14 on datalogger S.No. 240700896U</t>
  </si>
  <si>
    <t xml:space="preserve">Data transmission fault. </t>
  </si>
  <si>
    <t>The manufacturer of the BlueTag TH30R-S data loggers, Freshliance, was contacted for further investigation. Following their analysis, it was confirmed that the abnormal reading was caused by a data transmission fault. The issue was resolved remotely by the manufacturer’s technical team.</t>
  </si>
  <si>
    <t>16.04.2025</t>
  </si>
  <si>
    <t>25-058</t>
  </si>
  <si>
    <t>14.07.2025</t>
  </si>
  <si>
    <t>Audit Finding (KE/NBO/388787): Absence of internal audit prior to Stage 1 ISO 9001:2015 audit. The internal audit for AMEX Kenya Warehouse was initially scheduled for November 2025, as per the 2024 MRM (dated 24.05.2025), which falls after the Stage 1 audit.</t>
  </si>
  <si>
    <t>AMEX did not recognize that a full internal audit must be conducted before the certification audit to demonstrate the QMS has been implemented and is effective which was  a planning oversight in aligning internal audit timing with the certification roadmap.</t>
  </si>
  <si>
    <t>The internal audit was rescheduled to take place between  21-22 July 2025 before the Stage 2 certification audit which is scheduled for 29.07.2025. Due to the criticality, auditors and auditees, were given much less notice than planned in the  Internal Audit SOP.
The reading was deemed technically invalid and disregarded for the purpose of  the report REPPROT KE 02 Version 1 Hot Season Temperature Mapping Report for the Warehouse at Nairobi Gate Industrial Park</t>
  </si>
  <si>
    <t>23.07.2025</t>
  </si>
  <si>
    <t>25-059</t>
  </si>
  <si>
    <t>26.08.2025</t>
  </si>
  <si>
    <t>TRIDEM</t>
  </si>
  <si>
    <t>UNHCR</t>
  </si>
  <si>
    <t>The order was for item 39503-MA179 Sulfadoxine +Pyrimethamine500mg +25mgTAB which is the WHOPQ No. MA179 that is supposed to be dispersible tablets. 
What has been supplied is WHO PQ MA113 Sulfadoxine +Pyrimethamine500mg +25mgTAB (which is not a dispersible tablet).</t>
  </si>
  <si>
    <t>Supplier error</t>
  </si>
  <si>
    <t xml:space="preserve"> The supplier acknowledged their error. The customer confirmed that they will accept the regular non-dispersible tablets ref email dated 22.08.2025.</t>
  </si>
  <si>
    <t>25-060</t>
  </si>
  <si>
    <t>22.08.2025</t>
  </si>
  <si>
    <t>knikolova</t>
  </si>
  <si>
    <t>Amex</t>
  </si>
  <si>
    <t>20230201-11</t>
  </si>
  <si>
    <t>Inconsistency in shipping documents - multiple errors in the content list detected by the customer</t>
  </si>
  <si>
    <t xml:space="preserve">1.	The creation of the relevant shipping documents included multiple errors, such as incorrect batch numbers and expiry dates for certain items.
2.	The main root cause of these repeated mistakes is that the content list is still being updated manually, as the validation of the ERP system’s automatic generation process is ongoing.
</t>
  </si>
  <si>
    <t xml:space="preserve">Immediate Actions: AMEX has corrected all the errors in the content list and physically replaced the documents.
</t>
  </si>
  <si>
    <t xml:space="preserve">1.	Short-term solution:
-	Until the ERP system is configured to generate the content list/label, the documents will continue to be prepared manually
by AMEX. A two-step verification process will be implemented, ensuring that each document created manually is double-checked by two different team members before being shared with the customer.
2.	Long-term solution:
-	Automatic generation of the relevant documents (content list/label) through the ERP system.
</t>
  </si>
  <si>
    <t xml:space="preserve">The following has been done and is effective immediately:
1.	The documents were corrected and replaced.
2.	A two-step verification process will be implemented, ensuring that each document created manually is double-checked by two different team members before being shared with the customer.
</t>
  </si>
  <si>
    <t>25-061</t>
  </si>
  <si>
    <t>09.09.2025</t>
  </si>
  <si>
    <t>20240028-06</t>
  </si>
  <si>
    <t>Inconsistency in shipping documents - wrong batch number confirmed on the DO</t>
  </si>
  <si>
    <t>Due to the human error and higher number of different batches needed to be physically checked and prepared for dispatch, the warehouse didn't provide the right batch number packed in the kits and led to the wrong information on the content list.</t>
  </si>
  <si>
    <t>Amex sent CAPA report</t>
  </si>
  <si>
    <t>See CAPA report</t>
  </si>
  <si>
    <t>The content list has been corrected and COA sent to the customer</t>
  </si>
  <si>
    <t>16/09/2025</t>
  </si>
  <si>
    <t>25-062</t>
  </si>
  <si>
    <t>Data logger has not been included in the inbound shipment from supplier to AMEX warehouse.</t>
  </si>
  <si>
    <t>Data logger has not been included in the shipment due to the human error on the supplier side. Requirements from AMEX communicated during PO placement were not passed to the warehouse from which product has been collected.</t>
  </si>
  <si>
    <t>AMEX communicated to the supplier that data logger has to be part of the shipment as per GDP procedure. Supplier confirmed it will not happened in the future. Temperature reading from truck has been available which has been used to evaluate inbound shipment.</t>
  </si>
  <si>
    <t>25-063</t>
  </si>
  <si>
    <t>Chemi Pharm</t>
  </si>
  <si>
    <t>Inproper/ poor rapacking of DG goods for CAO (2 pallets of jerrycans) in Estonia led to additional repacking cost which was covered by FF K+N, and we are requested by K+N &amp; UNDP to cover the cost.</t>
  </si>
  <si>
    <t>Repacking partner of Chemi Pharm (MEERDES) for Dangerous Goods did not pack the 2 pallets properly (we received proof by pictures).</t>
  </si>
  <si>
    <t>tbd</t>
  </si>
  <si>
    <t>The repacking was done without informing AMEX &amp; manufacturer and was violating quality. The repacking cost 9726,5 will not be covered by AMEX as requested by K+N.</t>
  </si>
  <si>
    <t>25-064</t>
  </si>
  <si>
    <t>Warehouse, by mistake, packed an extra 132 packs and shipped to the customer.</t>
  </si>
  <si>
    <t xml:space="preserve">Warehouse clarified what happened by saying that they had two pallets with the same goods and the mistake happened because of a human error. </t>
  </si>
  <si>
    <t>AMEX asked the customer to keep the extra quantity and issued a packing list and an invoice for the additional quantity. Warehouse colleagues instructed to double check every future shipment before shipping.</t>
  </si>
  <si>
    <t>25-065</t>
  </si>
  <si>
    <t>Elizabeth</t>
  </si>
  <si>
    <t>Remedica</t>
  </si>
  <si>
    <t>MCDI</t>
  </si>
  <si>
    <t>Shipment from supplier premises in Cyprus to Vienna showed a deviation of upto 30.3°C fr 18hours 40min. The freight fowarder used was Kuehne Nagel.</t>
  </si>
  <si>
    <t>Improper transportation and storage of goods by the airline.</t>
  </si>
  <si>
    <t>FF was notified to inform the airline about the issue. Supplier confirmed that the goods could still be still used</t>
  </si>
  <si>
    <t>25-066</t>
  </si>
  <si>
    <t>Laboratoire Aguettant</t>
  </si>
  <si>
    <t>The data logger showed a deviation of up to 11.1°C for over days during the transportation of 2-8°C goods (LIDOCAINE 20 mg/mL ADRENALINE 0,005 mg/mL ) from supplier´s premises to AMEX . The vehicle temperature log, did not show any deviation. The goods were packed in a validated box.</t>
  </si>
  <si>
    <t>Root cause is unclear, but possibly wrong calibration of the data loggers.</t>
  </si>
  <si>
    <t>Supplier was notified and confirmed in writing that the goods are still in good condition.</t>
  </si>
  <si>
    <t>25-067</t>
  </si>
  <si>
    <t>GL Pharma</t>
  </si>
  <si>
    <t>After shipment has been delivered to ICRC premises, they reported that quantities delivered are not matching information on packing list and invoice. ICRC reported 100 packs difference (instead 45 000 packs delivered, 44 900 packs were received).</t>
  </si>
  <si>
    <t xml:space="preserve">Customer confirmed that there was no customs control during the inbound shipment and that customs didn't take any packs as samples and warehouse personnel confirmed that 100 packs were not added to the shipment because of human error. </t>
  </si>
  <si>
    <t xml:space="preserve">Credit memo has been issued to the customer. Warehouse has been asked to confirm if 100 packs are still at the warehouse. 100 packs will be delivered to the customer with the first next shipment taking place. </t>
  </si>
  <si>
    <t>25-068</t>
  </si>
  <si>
    <t>After shipment has been delivered to the end destination, UNDP reported temperation deviation during the shipment from Austria to Turkmenistan. Product Taliglucerase alfa 200 U is supposed to be stored and shipped within 2-8 degrees range, however, temperature went above 8 degrees for the whole transit time with maximum temperature 17.6 °C</t>
  </si>
  <si>
    <t xml:space="preserve">No concrete explanation about how boxes were validated has been received from the warehouse therefore clear root cause can not be confirmed. </t>
  </si>
  <si>
    <t>63821 USD</t>
  </si>
  <si>
    <t xml:space="preserve">UNDP has been asked to confirmed how the shipment has been received, if gel packs were present in the polybox, if polybox have been used, where the data logger has been placed and provide photos. At the same time, data logger report has been shared with manufacturer for confirmation if product can still be used and released or not. Warehouse Schachinger has been requested more information about how polybox has been prepared, how gel packs have been validated and product packed. Manufacturer did not allow us to release the product due to the lack of stability data within this range. AMEX organised replacement delivery and coordinated return shipment of affected stock. Warehouse claimed, packing instructions were followed which we were not able to fully verify. </t>
  </si>
  <si>
    <t>25-069</t>
  </si>
  <si>
    <t>Seacross</t>
  </si>
  <si>
    <t xml:space="preserve">Temperature-deviations have been recorded between 11 and 15 degrees for 7h. </t>
  </si>
  <si>
    <t>Could not determine the cause of the deviation.</t>
  </si>
  <si>
    <t>25-070</t>
  </si>
  <si>
    <t>Unicef</t>
  </si>
  <si>
    <t xml:space="preserve">Temperature-deviations have been recorded between 25 and 31 degrees for 6h. </t>
  </si>
  <si>
    <t>25-071</t>
  </si>
  <si>
    <t>Wockhardt, Relonchem, Sanofi</t>
  </si>
  <si>
    <t xml:space="preserve">After truck shipment has been delivered to end destination, UNDP reported temperation deviation during the shipment from Austria to Turkmenistan. 4 data loggers were showing deviation at 8 degrees for 3 days, whereas 2 remaining data loggers and truck recordings are showing stable temperature at 18 degrees throught the whole shipment. </t>
  </si>
  <si>
    <t xml:space="preserve"> 1. Data logger reports have been shared with manufacturer for confirmation if product can still be used, which was confirmed.
2. Warehouse Schachinger has been requested more information about how and where have data loggers been placed as well to share data logger calibration certificates</t>
  </si>
  <si>
    <t>25-072</t>
  </si>
  <si>
    <t>10/10/2025 and 14/10/2025</t>
  </si>
  <si>
    <t>During PQ execution, of SOFIA Validation, all test scripts were performed by an authorised business user from another company within the same BC instance, instead of desired validation company</t>
  </si>
  <si>
    <t xml:space="preserve">Following completion of a test restore execution (refer to test case OQ-006-003), the system administrator deleted the Validation Company used for IQ/OQ testing to manage server storage capacity. Consequently, an alternate company was used for PQ execution.
</t>
  </si>
  <si>
    <t>Both the validation company (used during OQ) and the alternate company (used during PQ) are production copies within the same environment. They therefore operate on an identical application version, configuration, and database. As a result, the functional behaviour, system controls, and data structures are equivalent across both companies. Execution evidence confirms that the validated configuration was maintained during PQ testing. Testing was performed under controlled conditions, ensuring that the validated state of the system was preserved. The deviation is considered low risk, with no impact on data integrity, intended system
functionality, or the overall validation outcome.</t>
  </si>
  <si>
    <t>25-073</t>
  </si>
  <si>
    <t>rreedy</t>
  </si>
  <si>
    <t>CA-MI Srl</t>
  </si>
  <si>
    <t>Supplier shipped wrong pallet (Amex order PO25-03127 rather than PO25-03247) by mistake, noticed at C-P, after 2 week deviation in LTA lead time for 2 ongoing orders. PO is already late and affecting key KPIs for UNICEF LTA. Generally supplier has no visibility on production at the moment because "As you have recently experienced, delivery time is impossible to predict. At least until new management takes over and re-organize production and logistics."</t>
  </si>
  <si>
    <t>Ongoing quality issues in Ca-mi production planning/order processing/logistics</t>
  </si>
  <si>
    <t>Ca-mi handling shipment charges for missed pallet</t>
  </si>
  <si>
    <t>25-074</t>
  </si>
  <si>
    <t>Weigao</t>
  </si>
  <si>
    <t>For UNICEF mandated pallet labels, the supplier advised incorrect manufacture/expiry month (07/2025; 07/2030). Printed on the goods and CoA: 08/2025; 08/2030. Additionally, CoA listed 60ml product - delivered was 50ml product.</t>
  </si>
  <si>
    <t>Incorrect production details/CoA provided by supplier and now require pallet relabelling at UNICEF warehouse in Denmark</t>
  </si>
  <si>
    <t xml:space="preserve">Correct CoA provided; re-labelling charges from Unicef warehouse </t>
  </si>
  <si>
    <t>25-075</t>
  </si>
  <si>
    <t>DL for indbound shipment showed a deviation lasting approximately 4 h, with a peak temperature of 57 °C.</t>
  </si>
  <si>
    <t>The deviations were caused by conditions beyond full control during air shipment.</t>
  </si>
  <si>
    <t xml:space="preserve">Data logger reports have been shared with manufacturer for confirmation if product can still be used. Manufacturer confirmed that goods can be released. </t>
  </si>
  <si>
    <t>25-076</t>
  </si>
  <si>
    <t>29.08.20225 and 15.10.2025</t>
  </si>
  <si>
    <t>Senador Labs</t>
  </si>
  <si>
    <t>DL for indbound shipment showsed 2 deviations: one lasting for 6 days at 28-29  °C and second one lasting approximately 4 h, with a peak temperature of 57 °C.</t>
  </si>
  <si>
    <t>25-077</t>
  </si>
  <si>
    <t>Molteni</t>
  </si>
  <si>
    <t>Temperature and humidity excursion has been recorded during the outbound shipment to the end user in Pakistan. The highest temperature recorded was 28,6 °C and lowest temperature recorded was 11.1°C. Highest humidity recorded was 86% and the lowest one was 35.4%.</t>
  </si>
  <si>
    <t>The deviations occured due to the shipping conditions that can not be fully determined during the entire period of shipment while shipping goods via AIR.</t>
  </si>
  <si>
    <t>Temperature and humidity deviation has been consulted with the manufacturer. As manufacturer didnt have any available data supporting the deviation, we agreed with the manufacturer to run a testing of this product mirroring shipping conditions recorded by data loggers. Manufacturer confirmed that results proved that quality of the product is untouched and product can be released for further use.</t>
  </si>
  <si>
    <t>25-078</t>
  </si>
  <si>
    <t>After shipment arrived to the end destination, customer reported temperature deviation with lowest temperature -1.2 °C. Temperature did not read requested 2°C within the whole shipping time (4 days).</t>
  </si>
  <si>
    <t>Product has been shipped in polyboxes which was validated as per winter mode following temperatures at the end destination where temperatures at the time of shipment taking place were below 0 degrees. In order to avoid cold shock, collection has been booked with temperature controlled truck pre-set for 15-25 degrees. Once shipment arrived to the airport, goods were stored at keep cool area and shipment has been booked as keep cool whenever possible. Thermal blanket has been applied on a pallet at the airport.</t>
  </si>
  <si>
    <t xml:space="preserve">Stability studies for the product has been available reflecting that product is safe to be used. Stability studies confirms that product is stable when stored for 7 days at temperature -5 degrees. This has been communicated to the end user. </t>
  </si>
  <si>
    <t>25-079</t>
  </si>
  <si>
    <t>Memmert</t>
  </si>
  <si>
    <t>PO25-03806 with 5 units ICO150 arrived to cargo partner. One unit was reported damaged with pictures and was claimed to Memmert to take back and replace the unit.</t>
  </si>
  <si>
    <t>Damage could occurred during transport from Germany or at loading from Memmert.</t>
  </si>
  <si>
    <t>Replacement with new unit received. Delay in delivery to UNDP of approx. 2 months.</t>
  </si>
  <si>
    <t>25-080</t>
  </si>
  <si>
    <t xml:space="preserve">Hetero Labs </t>
  </si>
  <si>
    <t xml:space="preserve">DL for indbound shipment showsed deviation above: 25°C for approximately 4 hours, with peak atand second one lasting approximately 4 h, with a peak temperature at 45.4°C </t>
  </si>
  <si>
    <t>25-081</t>
  </si>
  <si>
    <t xml:space="preserve">On 8/12/2025, Amex was informed by UNDP QA that Kazakhstan CO has reported that UNDP has received two Yellow Cards related to Adalimumab, 40 mg/0.4 mL, injectable solution, pre-filled syringe (Yuflyma) supplied by AMEX in 2025. Both adverse drug reaction reports submitted are linked to batch 3LAT07S31 of Adalimumab, 40 mg/0.4 mL, injectable solution, pre-filled syringe (Yuflyma). According to the shipping documents (attached), Kazakhstan CO received in 2025 from AMEX a total of 9.922 pre-filled syringes of Adalimumab (Yuflyma), distributed in three batches: 3LAT07S31, 3LAP13S11, 4LAP06S21.
UNDP QA team has requested Kazakhstan CO to:
- place in quarantine the batch 3LAT07S31
-provide the pictures of the packaging of the three batches received
-provide information concerning the storage conditions of the batches:
-the dataloggers recordings shipped with this product to Kazakhstan (already received-attached)
-the recordings of the storage conditions of the product since its arrival in the country.
</t>
  </si>
  <si>
    <t>N/A - AE reproted</t>
  </si>
  <si>
    <t xml:space="preserve">Supplier infromed </t>
  </si>
  <si>
    <t>25-082</t>
  </si>
  <si>
    <t>Piramal</t>
  </si>
  <si>
    <t xml:space="preserve">Temperature deviation occured during the inbound shipment and storage of Miglustat which is product with storage conditions store below 25 degrees. Inbound shipment for product Miglustat has been requested and booked as keep cool inbound shipment with temperature controlled truck. Same instructions has been passed to the warehouse and warehouse has been requested to store the product in keep cool area after delivery. Transportation time was 2 days in total and product has been delivered to Schachinger on December 10th. On December 12th 11AM, AMEX noticed the descrepancy and asked warehouse to move product to correct storage location and put it to quarantine. </t>
  </si>
  <si>
    <t xml:space="preserve">Product has been shipped in wrong temperature range because of the human error on AMEX side. </t>
  </si>
  <si>
    <t>15400 GBP</t>
  </si>
  <si>
    <t xml:space="preserve">Manufacturer has been asked to confirm if product can be released for further use, however, manufacturer has no stability data confirming if this deviation would have an impact on the quality of the product therefore product can not be release for further use. Replacement shipment has been coordinated with the manufacturer. </t>
  </si>
  <si>
    <t>25-083</t>
  </si>
  <si>
    <t>/</t>
  </si>
  <si>
    <t>The annual GDP training for 2025 for the Pharma, Kitting and AMEX Kenya teams has not been conducted.</t>
  </si>
  <si>
    <t>As the internal company restructuring has been postponed until December 2025, the GDP training for 2025 has not been organized due to a lack of clarity.</t>
  </si>
  <si>
    <t>The GDP training has been scheduled and will be held on 28.01.2026</t>
  </si>
  <si>
    <t>25-084</t>
  </si>
  <si>
    <t>Supplier did not include a data logger in the shipment to AMEX</t>
  </si>
  <si>
    <t>Supplier warehouse mistake</t>
  </si>
  <si>
    <t>The supplier was engaged and has committed to minimising such mistakes in the future. The vehicle temperature log was used to check if there was a temperature excursion. There was none.</t>
  </si>
  <si>
    <t>25-085</t>
  </si>
  <si>
    <r>
      <rPr>
        <sz val="11"/>
        <color rgb="FF000000"/>
        <rFont val="Calibri"/>
        <family val="2"/>
        <scheme val="minor"/>
      </rPr>
      <t xml:space="preserve">Warehouse informed AMEX that </t>
    </r>
    <r>
      <rPr>
        <sz val="12"/>
        <color rgb="FF000000"/>
        <rFont val="Calibri"/>
        <family val="2"/>
        <scheme val="minor"/>
      </rPr>
      <t>one of the boxes fell off during packaging resulting in 7 broken bottles and 78 bottles with stain.</t>
    </r>
  </si>
  <si>
    <t>Human error</t>
  </si>
  <si>
    <t>467.50 Euros plus transportation 600 Euros, Total: 1000 Euros</t>
  </si>
  <si>
    <t>AMEX reached out to the supplier and replaced the damaged quantity of the product.</t>
  </si>
  <si>
    <t>25-086</t>
  </si>
  <si>
    <t>izivkovic</t>
  </si>
  <si>
    <t>Based on the Standard Operating Procedure (SOP) 14 Internal Audits, internal audits are performed annually. During the previous calendar year (2025), the internal audit was not performed as required per the SOP. This represents a deviation from the established procedure and applicable quality system requirements.</t>
  </si>
  <si>
    <t xml:space="preserve">Internal audit has not been performed during 2025 due to the company restructuring. During this period, organizational changes impacted the assignment of roles and responsibilities related to the planning, execution, and oversight of internal audits. </t>
  </si>
  <si>
    <t xml:space="preserve">Corrective Action
The internal audit Standard Operating Procedure (SOP) will be revised to align with the current organizational structure. The updated SOP will clearly define roles and responsibilities, specify the internal audit process, and revise the audit frequency as appropriate. Upon approval, the revised procedure will be implemented and communicated to relevant personnel.
Preventive Action
N/A
</t>
  </si>
  <si>
    <t>Only corrective action applicable given the root cause: The internal audit Standard Operating Procedure (SOP) will be revised to align with the current organizational structure. The updated SOP will clearly define roles and responsibilities, specify the internal audit process, and revise the audit frequency as appropriate. Upon approval, the revised procedure will be implemented and communicated to relevant personnel.</t>
  </si>
  <si>
    <t>25-087</t>
  </si>
  <si>
    <t>AMAXA</t>
  </si>
  <si>
    <t xml:space="preserve">Product CUROSURF suspension for endotracheal administration 80 mg/ml in a vial has been delivered to Turkmenistan under AMEX invoice INV26-00076. Freight mode: AIR delivery with initial truck collection. Truck was temperature controlled truck set up for 15-25°C to avoid a cold shock and the rest of the shipment was booked as 2-8°C whenever possible. Product has been packed in three polyboxes validated for winter mode with data logger packed in each box. After shipment reached the end destination, customer reported temperature deviation for 2 out of 3 boxes. Data logger 1 recorded deviation to 1.9 °C on 19.Jan.2026 10:35:14 for aprox. 2 hours, data logger 2 recorded temperature fluctuation between 1,7°C-2°C during the whole period of shipment with lowest temperature reaching 1,7°C. Data logger 3 didnt record any temperature deviation. </t>
  </si>
  <si>
    <t xml:space="preserve">Root case can not be defined. AMEX personnel were present in the warehouse while shipment has been prepared and polyboxes were put together with gel packs. Packiging process went as per instructions provided by the manufacturer of packaging material. Shipping mode has been booked as per instructions as well. </t>
  </si>
  <si>
    <t xml:space="preserve">Manufacturer has been approached to confirm whether product can be released for further use. Manufacturer confirmed within a day that product can be used and official letter has been forwarded to the customer. </t>
  </si>
  <si>
    <t>25-088</t>
  </si>
  <si>
    <t>Rovi</t>
  </si>
  <si>
    <t>Once goods arrived, customer shared update that the quantity they received is 4999 packs of Enoxaparin instead of 5000 packs.</t>
  </si>
  <si>
    <t>Could not determine whether 1 pack less was shipped due to mistake in supplier's warehouse while preparing the shipment, or during batch review that has been done in AIT warehouse.</t>
  </si>
  <si>
    <t>40.18 EUR</t>
  </si>
  <si>
    <t>1. AIT warehouse and Rovi have been asked to investigate on their end. 
2. Credit memo issued for 1 missing item and shared with consignee.</t>
  </si>
  <si>
    <t>25-089</t>
  </si>
  <si>
    <t>Amex Vienna</t>
  </si>
  <si>
    <t>Amex Kenya</t>
  </si>
  <si>
    <t xml:space="preserve">After shipment has been delivered to end destination, DL report showed temperation deviation during the shipment from Austria to Kenya. 4 data loggers were showing multiple deviations above 25 °C from 8 to 16 hours, with highest peak at 63.1 °C. </t>
  </si>
  <si>
    <t xml:space="preserve">Freight forwarder has shared CAPA report stating that the shipment was stored in a non–temperature-controlled environment during the transfer process at Addis Ababa airport operation which results in temporary exposure to elevated ambient temperatures. </t>
  </si>
  <si>
    <t>29,482.83 EUR</t>
  </si>
  <si>
    <t>1.  Freight forwarder has been asked to investigate together with their local partner how and if the cargo has been handeled per the instructions shared previosly on AWB and labels on the cargo. They provided CAPA report.
2. Suppliers and manufacturers have been asked to confirm whether goods are still good to be used, which they did. 
3. Warehouse Schachinger has been asked to share photos confirming that pallets have been properly labelled, which they did.</t>
  </si>
  <si>
    <t>25-090</t>
  </si>
  <si>
    <t>Once goods arrived, we have been informed the quantity they received is 1212 packs of Diclofenac sodium 25mg/ml instead of 1217 packs.</t>
  </si>
  <si>
    <t xml:space="preserve">Human error, 5 packs have not been packed by mistake. </t>
  </si>
  <si>
    <t>Warehouse Schachinger has been asked to investigate this on their end. No further actions needed from Amex</t>
  </si>
  <si>
    <t>25-091</t>
  </si>
  <si>
    <t>mmayuba</t>
  </si>
  <si>
    <t>AMEX Vienna Warehouse</t>
  </si>
  <si>
    <t>Stock not reflected in the AMEX KE Warehouse</t>
  </si>
  <si>
    <t>Goods received on the Stock Inventory Sheet, Import Permit, Application Reference No : 2025CPPB321C0004972849 on 2nd December 2026 and not received into SOFIA because of an issue with stock transfer</t>
  </si>
  <si>
    <t>Technical error on Sofia Transfer of stocks from one warehouse to another</t>
  </si>
  <si>
    <t>Marie supporting on resolving this challenge</t>
  </si>
  <si>
    <t>25-092</t>
  </si>
  <si>
    <t>Microlabs</t>
  </si>
  <si>
    <t>Missing Data Loggers</t>
  </si>
  <si>
    <t>The shipment was transported without data loggers.</t>
  </si>
  <si>
    <t xml:space="preserve"> The request for datalogger was not printed in the PO that was placed with Microlaps, resulting on the shipment missing the datalogger.</t>
  </si>
  <si>
    <t>1756.25 EUR</t>
  </si>
  <si>
    <t>Confirm to suppliers that data loggers should be added. 
Goods accepted based on data from a shipment that arrived from the same location, through the same transport route, at the same time. Sofia key user has now an open ticket to investigate why the datalogger request was not printed on the PO.</t>
  </si>
  <si>
    <t>25-093</t>
  </si>
  <si>
    <t>Temperature-deviations have been recorded between 15 and 8 degrees for approximately 2 days and between 15 and 3 degrees for appoximately 4 days.</t>
  </si>
  <si>
    <t>25-094</t>
  </si>
  <si>
    <t>Okuman</t>
  </si>
  <si>
    <t>Freight forwarder Blue Water Shipping delivered 4 units under this shipment with significant water damage to medical equipment</t>
  </si>
  <si>
    <t>Truck of BWS contracted forwarder had a large leak in the roof  - rain damage (documented with photos)</t>
  </si>
  <si>
    <t>USD 8,335.40 + inbound</t>
  </si>
  <si>
    <t>Replacement order for the damaged units PO25-03690 - claim placed with BWS for refund of this order+delivery. CAPA drafted by BWS and reviewed by  Amex Quality. Requested refund was approved and Amex Operations shared payment details with BWS.</t>
  </si>
  <si>
    <t>CAPA plan provided by BWS</t>
  </si>
  <si>
    <t>Pending</t>
  </si>
  <si>
    <t>26-001</t>
  </si>
  <si>
    <t>Freight forwarder Blue Water Shipping delivered 4 trucks from Turkey (supplier: Okuman) to Cargo-Partner without customs clearance or T1 yet confirmed with Cargo-Partner customs clearance was completed. Goods (USD 600,000 value) have already been exported (with EX1) without customs clearance completed.</t>
  </si>
  <si>
    <t>Local forwarder contracted by BWS did not stop at customs office in Austria. Reason - unknown. BWS ceased cooperation with this carrier due to continuous issues.</t>
  </si>
  <si>
    <t>Pending final cost estimate</t>
  </si>
  <si>
    <t>BWS does not have local agent in Austria  - Amex worked with Cargo-Partner to support in 'retrospective import procedure'. Amex QA investigated with BWS. CAPA report provided.</t>
  </si>
  <si>
    <t>26-002</t>
  </si>
  <si>
    <t>Hanshin Medical Co.,Ltd.</t>
  </si>
  <si>
    <t xml:space="preserve">20253275/PO25-04906 </t>
  </si>
  <si>
    <t>Freight forwarder Blue Water Shipping delivered 2 of 8 boxes covered in ice with inner cartons wet (documented with photos) - appears no damage to equipment, replacement packaging needed</t>
  </si>
  <si>
    <t>BWS local agent claims water/ice occured while on/offloading operations. BWS ceased cooperation with this carrier due to continuous issues.</t>
  </si>
  <si>
    <t>Requested Manufacturer's review of damage/replacement packaging shipped from South Korea and C-P repacking of units. The goods are good for use per confirmation received from manufacturer. CAPA plan provided by BWS</t>
  </si>
  <si>
    <t>26-003</t>
  </si>
  <si>
    <t>Amstelpharma</t>
  </si>
  <si>
    <t>Amex Kenya Stock</t>
  </si>
  <si>
    <t>Goods for stock in Kenya warehouse were bought from Amstelpharma and shipped under incoterms CPT NAirobi.
Goods were temperature-controlled 15-25C, however they arrived in warehouse without data logger added to the shipment.</t>
  </si>
  <si>
    <t>The requirement for a datalogger was clearly stated on the purchase order placed by Amex. However, this requirement was not correctly transferred to our internal sales order. Adding a datalogger to a shipment is a manual action performed by Sales, and this step was not executed in this case. As a result, the warehouse was not instructed to include a datalogger with the shipment.</t>
  </si>
  <si>
    <t xml:space="preserve">1. Supplier was requested to investigate on their end, provide temperature recordings from the freight forwarder (truck and aircraft) and stability data of all products shipped. Supplier provided  stability data and temperature control report for the road transport. 
2. Supplier was requested to provide CAPA report, which they did. Corective actions include mandatory shipment checklist completed for every order as well as pre-filled checklist for Amex clearly stating that data logger must be included with every shipment.
</t>
  </si>
  <si>
    <t>Supplier's CAPA report provided</t>
  </si>
  <si>
    <t>26-004</t>
  </si>
  <si>
    <t>A shipment containing Adalimumab 40 mg/0.4 ml PFP (Yuflyma 40 mg Solution for Injection PFP), item number 37848-1/20/1513/005, quantity 750 pcs, batch 5LAT03T11, temperature requirement 2–8 °C, arrived at the AMEX warehouse on 15-01-2026 after pickup by Sudost Cargo. Upon receipt, hidden damage to the pallet was identified. The damage was not visible at arrival due to white protective foil covering the pallet. After unwrapping, damage to cartons was observed. One carton was visibly damaged initially. Photographic evidence was taken and shared with the AMEX Quality Manager. Further inspection identified damage affecting a total of 11 pieces. The damaged items were segregated and placed separately on a pallet pending further instructions.</t>
  </si>
  <si>
    <t>Based on the assessment provided by Sudost Cargo Quality Assurance, the damage likely occurred prior to the pallet wrapping. The nature of the damage suggests improper handling during pallet movement, potentially caused by forklift forks positioned too high, resulting in pressure being applied directly to the cartons. Supplier investigation is ongoing, and final root cause confirmation is pending feedback from Purepharm.
13-Feb-2026: Purepharm statement: ''warehouse team has been unable to retrieve the video footage of the stock loading. However, they have confirmed that no incidents occurred during the loading process. If there had been any issues or visible damage at that stage, we would have immediately raised our own deviation and would not have dispatched the stock in damaged condition. It is therefore possible that the damage may have occurred during a subsequent collection or while the stock was being unloaded.''</t>
  </si>
  <si>
    <t>644 EUR</t>
  </si>
  <si>
    <t>Damaged units were immediately segregated from usable stock. Photographic evidence was documented and shared with AMEX Quality Manager.  Inbound processing was completed and out of 11 only 7 items identified as fully damaged and not good for use.</t>
  </si>
  <si>
    <t>26-005</t>
  </si>
  <si>
    <t xml:space="preserve">On 29-Jan-2026, Amex received safety notice from Edan concerning labeling and default setting issues.
•	Labeling issue: An inappropriate publicly routable IP address was used as an example in the user manual for demonstrating user-configurable IP address settings.
•	Default setting issue: An inappropriate publicly routable IP address was used as the factory default configuration. However, this IP address is not hard-coded in the system and can be modified by users through the User Maintenance interface.
Upon provision of relevant documents, Amex investigated internally to locate the impacted customers.
On 25-Mar-2026, Amex Quality Specialist sent the populated 'reply form' to Edan and informed them that all impacted Amex's customers were informed of the FSCA and relevant documents were shared. It was also added that given the nature of Amex's business, Amex instructed customers to inform the end users of the FSCA and share relevant documents with them.
</t>
  </si>
  <si>
    <t>Impacted customers informed and EDAN informed of completed actions.</t>
  </si>
  <si>
    <t>26-006</t>
  </si>
  <si>
    <t>Direct Relief</t>
  </si>
  <si>
    <t>Data logger report showed a temperature peak at 11.9 °C. The temperature stayed below 15 degrees for a short period of time of approx. 3 h.</t>
  </si>
  <si>
    <t xml:space="preserve"> Supplier was asked to confirm that they have stability studies done to ensure that product can still be used. Supplier confirmed that goods are safe to use.</t>
  </si>
  <si>
    <t>26-007</t>
  </si>
  <si>
    <t>UNFPA</t>
  </si>
  <si>
    <t>Data logger report showed a temperature peak at 9.6°C. . The temperature stayed below 15 degrees for a short period of time of approx. 1 h.</t>
  </si>
  <si>
    <t>26-008</t>
  </si>
  <si>
    <t>Data logger report showed a temperature peak at 11.7 °C. The temperature stayed below 15 degrees for a short period of time of approx. 1,5 h.</t>
  </si>
  <si>
    <t>26-009</t>
  </si>
  <si>
    <t>Schachinger warehouse shared dimensions with the wrong height, that is, 120 x 80 x 129cm instead of 120 x 80 x 40cm. Schachinger only became aware and notified AMEX of this the day before collection. Freight bookings had already been made and the cost of booking for a taller shipment could no longer be recouped.</t>
  </si>
  <si>
    <t>Mistake during preparation and recording of dimensions for dispatch.</t>
  </si>
  <si>
    <t>Documents (packing list and AWB) were corrected and the customer was made aware of the deviation and given the new documents. The FF was engaged and advised that while the shipment would have been about 400€ less with the correct dimensions, they could not offer a refund.</t>
  </si>
  <si>
    <t>26-010</t>
  </si>
  <si>
    <t xml:space="preserve">Celltrion Healthcare Italy Srl </t>
  </si>
  <si>
    <t xml:space="preserve">Mockup Recall
AMEX has been informed by the supplier (Celltrion Healthcare Italy Srl), that they are performing a recall of Adalimumab 40mg/0.4ml PFS (Yuflyma), batch 4LAP28S61, with expiry date 06.2027. Reason of the recall is the typo error in the MAH address. Even thought there is no impact on the patient, the supplier is proceeding with the recall of the batch. </t>
  </si>
  <si>
    <t>Mockup Recall
A typo error in the approved text.</t>
  </si>
  <si>
    <t>Batch movement information has been retrieved from the AMEX ERP database and cross-checked with warehouse. Affected customer was identified and informed immediately. Warehouse confirmed that there is no stock of affected batch, which was verified and confirmed in AMEX ERP system.</t>
  </si>
  <si>
    <t>26-011</t>
  </si>
  <si>
    <t>UNDP informed AMEX that the product (Factor IX) supplied by AMEX shows expiry date of DEC 2026 printed on the product label while the COA states expiry date of DEC 2027. This constitutes a clear discrepancy between the invoiced documentation and the actual product received.</t>
  </si>
  <si>
    <t>Octapharam stated that the product was produced in January 2025. According to registration in Sudan (registration number 03330/MQAS) the shelf life of Octanine F 500 IU is 36 months from the date of manufacture. Consequently, both the Certificate of Analysis and the Final Batch Release Certificate issued by the Austrian authorities for export purpose (Release Certificate Number: ZAT-25I549) indicate a valid expiry date of 12/2027. The reason for the shorter shelf-life information printed on the packaging and reflected in internal documentation was an error in system causing the product to be packaged in accordance with the Austrian registration, which specifies a shelf life of 24 months from the date of manufacture.</t>
  </si>
  <si>
    <t>AMEX agreed with UNDP that UNDP keep the product and AMEX commits to compensating
UNDP for the return of any vials from
the product (supplied in November 2025) that cannot be used
before their expiry date in December 2026.</t>
  </si>
  <si>
    <t>AMEX requested clarification and the cause of this discrepancy (see root cause column) from Octapharma and agreed that Octapharma commits to compensating AMEX
 for the return of any vials from the product (supplied in
October 2025) that cannot be used before their expiry date in December 2026.</t>
  </si>
  <si>
    <t>26-012</t>
  </si>
  <si>
    <t xml:space="preserve">Aguettant </t>
  </si>
  <si>
    <t>20251607, 20251160</t>
  </si>
  <si>
    <t>MOCK UP RECALL 
On 09/02/2025, at 11:41am, Aguettant sent mock up recall email, asking for batch movement of the product LIDOCAINE 10 mg/mL ADRENALINE 0,005mg/mL AGUETTANT ABT 10mL B10 FR with batch number T-3382B, specifically number of packs purchased, date of the receipt in the warehouse, number of boxes discarded for break damage, number of boxes on stock as today, detailed list of customers who received this batch, total number of dispatched boxes. 
The batch movement was identified, responses was provided to Aguettant on same day at 3:34pm and confirmation was received that the information matched with their batch tracing information.
No further action was needed.</t>
  </si>
  <si>
    <t>N/A - mock up recall</t>
  </si>
  <si>
    <t>26-013</t>
  </si>
  <si>
    <t>Sanofi, Accord UK</t>
  </si>
  <si>
    <t>20250174, 20241859</t>
  </si>
  <si>
    <t>On 17.02.2026 at 11:13, UNDP confirmed that the goods were received on 16.02.2026, however, some of the
 medicines were damaged. In addition, some boxes containing the medicines were opened, and the data loggers
 recorded a temperature excursion during transit. UNDP was in charge of the shipment and has appointed FF, and they asked AMEX for a support to obtain confirmation from the manufacturer if goods can be used.</t>
  </si>
  <si>
    <t>The freight forwarder has informed UNDP and AMEX that the deviation was caused by unforeseen circumstances during border inspections. Specifically, at each border crossing, the truck was opened by customs authorities for inspection purposes. This was particularly prolonged at the BG/TR border, where the driver and the vehicle were held for an extended period, leading to a drop in temperature inside the container.
Damage of the goods was done by customs officers in Turkey with their explanation being that as they could not take the truck into X-ray thry wanted to check if there was no illegal substance inside the ampoules.</t>
  </si>
  <si>
    <t>Supplier was asked to confirm that they have stability studies done to ensure that product can still be used. Supplier confirmed that goods are safe to use.</t>
  </si>
  <si>
    <t>26-014</t>
  </si>
  <si>
    <t>bsiam</t>
  </si>
  <si>
    <t xml:space="preserve">Relonchem </t>
  </si>
  <si>
    <t xml:space="preserve">UNHCR </t>
  </si>
  <si>
    <t xml:space="preserve">In the inbound to our Kenya Warehouse, data logger report showed a temperature peak at 32.2 °C. The temperature stayed over 25 degrees for a short period of time of approx. 1 H 12 m. </t>
  </si>
  <si>
    <t>Could not be determined; goods were safe to release as confirmed by manufacturer</t>
  </si>
  <si>
    <t>26-015</t>
  </si>
  <si>
    <t>20260005-AT</t>
  </si>
  <si>
    <t>One pallet of medical equipment from manufacturer Okuman was delivered wet. Outer carton damaged - equipment ok. This is the 2nd occurance of water damage for this item with BWS on this route (See DCR #25-094) - 3rd with BWS in last 6 months.</t>
  </si>
  <si>
    <t>Pallets were in contact with water, most likely, during loading/unloading. BWS ceased cooperation with the carrier due to continuous issues.</t>
  </si>
  <si>
    <t>423,14 euros</t>
  </si>
  <si>
    <t>BWS ceased cooperation with carrier used in Turkey due to our continuous issues + replacement packaging ordered. Amex decided not to use BWS for this route moving forward.</t>
  </si>
  <si>
    <t>26-016</t>
  </si>
  <si>
    <t xml:space="preserve">Remedica </t>
  </si>
  <si>
    <t xml:space="preserve">In the inbound to our Kenya Warehouse, data logger report showed a temperature peak at 30.4 °C. The temperature stayed over 25 degrees for an accumulative period of time of 4 H 30 m. </t>
  </si>
  <si>
    <t>26-017</t>
  </si>
  <si>
    <t>Amaxa</t>
  </si>
  <si>
    <t>UNDP coordinated collection of multiple orders with one temperature controlled truck set up for 2-8°C range. UNDP appointed Scan Global to execute this shipment together for all pharma and non-pharma orders. After delivery to Turkmenistan has been completed, customer reported temperature deviation with the lowest temperature -1.2 °C. Data logger recorded temperature lower than 2°C for 36,5h and temperature above 8°C for 1h.</t>
  </si>
  <si>
    <t>Root cause can not be specified. Temperature recording report from truck is not showing any temperature deviation and freight forwarder can not specify where pallet was located in the truck. Truck has been opened and checked by customs at multiple check points, however, it can not be confirmed that pallet has been located close to the door to be impacted by this action. Calibration reports of data logger are confirming that data loggers should be working properly, however this can not be evaluated as well as data loggers are at the end destination.</t>
  </si>
  <si>
    <t>AMEX approached supplier to confirm if product can be released for further use. Supplier AMAXA contacted manufacturer and they conducted additional testing which proved that product can be released on the market. Freight forwarder has been contacted to confirm what could be the reason for the deviation, however, as per confirmation from the forwarder, truck temperature recording device didnt record any temperature deviation and they can not confim if customs controls could impact the deviation.</t>
  </si>
  <si>
    <t>26-018</t>
  </si>
  <si>
    <t>Per SOP 5, DCR analysis should be performed annually. However, since this analysis was not done, deviation 26-018 was raised to cover the SOP non-compliance. DCR analysis for 2025 was performed in Q1 2026. SOP 5 and WI 11 were updated to better describe the process of performing DCR analysis. The SOP 5 v12 effective date is consider the date when the deviation is closed.</t>
  </si>
  <si>
    <t>Capacity issues.</t>
  </si>
  <si>
    <t>SOP 5 updated
WI 11 updated
DCR analysis for 2025 performed</t>
  </si>
  <si>
    <t>26-019</t>
  </si>
  <si>
    <t>ldulanto/jsanguino</t>
  </si>
  <si>
    <t>AVONCHEM</t>
  </si>
  <si>
    <t>CHEMONICS</t>
  </si>
  <si>
    <t>Products delivered from our warehouse to Chemonics. Due to SWO, no action was taken some time after arrival of goods. When inspected, bottles came with out expiration date, with incomplete information. We could not identify the lots as there was no marking in bottles either. While discussing, products expired.</t>
  </si>
  <si>
    <t xml:space="preserve">Manufacturer sent incorrect lot documents; not all bottles had the lot printed, the lots printed were different from the documents sent originally. </t>
  </si>
  <si>
    <t>We negotiated a reduction in the price per unit, inspected the cargo packing and bottles before shipment. Shipped the cargo to the customer</t>
  </si>
  <si>
    <t>26-020</t>
  </si>
  <si>
    <t>Thrive pharma</t>
  </si>
  <si>
    <t>20260127-AT</t>
  </si>
  <si>
    <t>Data logger report showed a temperature peak at 9.2°C. The temperature stayed above 8°C for approximately 10 minutes.</t>
  </si>
  <si>
    <t>Supplier confirmed that this deviation occured during brief initialization period of data logger upon activation.</t>
  </si>
  <si>
    <t>Supplier was asked to confirm that they have stability studies done to ensure that product can still be used. Supplier confirmed that the goods were not subjected to any excursions during timeframe of initialization.</t>
  </si>
  <si>
    <t>26-021</t>
  </si>
  <si>
    <t>Warehouse personnel reported 2 damaged packs of Montelukast 5mg Chewable Tablets with broken seals and 5 pressed packs of the same product without any other significant damage. As per confirmation from the warehouse, box fell from the shelf while goods were stored in the warehouse.</t>
  </si>
  <si>
    <t>As per confirmation from the warehouse, box fell from the shelf while goods were stored in the warehouse and were being manipulated with.</t>
  </si>
  <si>
    <t>1,1 GBP</t>
  </si>
  <si>
    <t>Based on the photo documentation received from the warehouse it was decided that 2 packs with broken seal can not be released for further use. 5 packs with slightly pressed packaging but no significant damage will be released.</t>
  </si>
  <si>
    <t>26-022</t>
  </si>
  <si>
    <t>Medreich</t>
  </si>
  <si>
    <t xml:space="preserve">During the inbound quality inspection it was discovered that 400 packs were delivered with a lose seal that is not holding attached to the pack. After detailed check by warehouse personnel it has been confirmed it is an issue with the seal and it is not caused by external person.    </t>
  </si>
  <si>
    <t xml:space="preserve">Root cause of this issue can not be fully defined as supplier did not have such situation before and it is visible that the issue is the seal itself.             EB 10.03: Supplier informed AMEX that based on the investigation it is found that the tamper evident labels used in the complaint batch have a higher number of perforations. In such a case with air penetration happening continuously there is a possibility that the tamper evident labels might peel off.  </t>
  </si>
  <si>
    <t>AMEX contacted manufacturer to get more clarification on a root cause for this situation, however, supplier could not provide satisfying explanation. In the meantime, customer confirmed that they will accept the product and we can move forward with the delivery.                                           EB 10.03.: Supplier confirmed that following a similar complaint relating to tamper evident labels, a CAPA was initiated to introduce a new tamper evident label design with fewer perforations to prevent recurrence of the reported issue, the new labels have since been introduced, however the complaint batch was packed before the implementation of the new label design.</t>
  </si>
  <si>
    <t>26-023</t>
  </si>
  <si>
    <t xml:space="preserve">I+ Solutions placed PO for 1,258 packs of water for injection 5ml, fresh production. Aguettant offered the expiry date of 04/2027 which was approved by ops specialist without double-checking the customer's PO or AMEX sales offer. The product was purchased and announced to the customer in March'26 and was rejected by the customer, as the export date was too short. </t>
  </si>
  <si>
    <t>EUR 8,177.00 (unless the product get purchased  by another customer)</t>
  </si>
  <si>
    <t xml:space="preserve">AMEX offered to supply the pruchased product to the customer with AMEX letter of guarantee to replace the product if any packs have not been used before the expiry date. The offer was declined by the customer. AMEX placed a PO for the same product with a better expiry date. The product has already been shipped to the customer </t>
  </si>
  <si>
    <t>Ongoing</t>
  </si>
  <si>
    <t>26-024</t>
  </si>
  <si>
    <t xml:space="preserve">UNICEF Copenhagen informed Amex that shipment to Denmark warehouse was recieved with 5 of 69 pallets damaged (photos provided) with invoice of $660 for re-work fee due to non-compliance. The shipment was palletized/packed at Gebrueder Weiss Shanghai, who provided Amex with loading photos showing the goods/container loading showing pallets were properly loaded, but using plywood pallets rather than wooden pallets agreed upon during previous discussions on UNICEF packing standards, due to misunderstanding on requirement. </t>
  </si>
  <si>
    <t xml:space="preserve">GW SHA misunderstood pallet requirement, writing "plywood" as commitment in previous email alinging on topic but attaching photo of woode pallet. Proceeded with plywood pallet. </t>
  </si>
  <si>
    <t>$660</t>
  </si>
  <si>
    <t xml:space="preserve">Amex requested credit to acccount by GW SHA for related fees - clarified again wood pallets are needed for this customer. </t>
  </si>
  <si>
    <t>26-025</t>
  </si>
  <si>
    <t>UNDP, IMC</t>
  </si>
  <si>
    <t>20241148, 20241222</t>
  </si>
  <si>
    <t>Intersurgical shared urgent field safety notice informing Amex that they identified missing valve on BVM Resuscitators for batches 334405, 334373, 334374, 334406, 341175, 333717 and 333715. Safety noticed confirmed that visual inspection needs to be done in order to identify impacted items, confirming that those unimpacted ones can still be used, while impacted are to be destroyed or returned back to the supplier.
Two projects were identifed that have impacted batches supplied. After checking with Country Offices, it was confirmed that delivered units were not impacted (i.e., all are having two valves and can be used).</t>
  </si>
  <si>
    <t>N/A - safety notice</t>
  </si>
  <si>
    <t>All affected POs are identifed and customers are informed</t>
  </si>
  <si>
    <t>28/04/2026</t>
  </si>
  <si>
    <t>26-026</t>
  </si>
  <si>
    <t>23.02.2026 - 03.03.2026</t>
  </si>
  <si>
    <t>Warehouse Hot Season Temperature Mapping 2026</t>
  </si>
  <si>
    <t>Temperature Excursions recorded despite the HVAC system running: WH 23 – FLT (Front-Left-Top) – Maximum 32°C, FRT (Front-Right-Top) – 26.5°C, FCT (Front-Centre-Top) – 26.2°C, CCT (Centre-Centre-Top) – 25.9°C, CRT (Centre-Right-Top) – 25.6°C, CLT (Centre-Left-Top) – 25.5°C, BRB (Back-Right-Bottom) – 25.3°C, FLM (Front-Left-Middle) – 25.2°C, BCM (Back-Centre-Middle) – 25.2°C, CCM (Centre-Centre-Middle) – 25.2°C, BCT (Back-Centre-Top) – 25.1°C, BLB (Back-Left-Bottom) – 25.1°C, BLT (Back-Left-Top) – 25.1.</t>
  </si>
  <si>
    <t>None Identified</t>
  </si>
  <si>
    <t xml:space="preserve">Immediate Actions: All top locations (7m) were marked as high risk locations. Warehouse team was notified not to store any products on the top locations and in the event all 4m and 1m locations will be full, a risk assessment will be conducted to identify what products would be placed at the top locations. Previously, no products have been stored in top locations.
Long term actions:
Warm locations with high MKT at 4m and 1m will be focus areas for environmental monitoring.
Warehouse 23 will be have more monitoring locations as it recorded more excursions.
Warehouse team is currently looking at getting roofing material that will be added on some sections on the warehouse and will hopefully reduce the heat transfer from the sun and the outside environment into the warehouse. Once this is done, we will conduct another warehouse qualification temperature mapping and it will give us more insights on if this solution would be impactful .
</t>
  </si>
  <si>
    <t>26-027</t>
  </si>
  <si>
    <t>Freshliance</t>
  </si>
  <si>
    <t>Temperature Excursion recorded at Warehouse 24: CRM (Centre-Right-Middle)  - 3065.8°C, CRM (Centre-Right-Middle)  - -30°C, BLT (Back-Left-Top) - -30°C</t>
  </si>
  <si>
    <t>The unusual readings are caused by a known issue in the early version of the devices, where during historical data upload, some measurements could occasionally appear misaligned. This has been addressed in the latest firmware updates.
The current devices would need to be returned to the Freshliance facility for a firmware update if needed.</t>
  </si>
  <si>
    <t>Next purchase of Data Loggers could be WHO Prequalified Data Loggers</t>
  </si>
  <si>
    <t>26-028</t>
  </si>
  <si>
    <t>Shipment of ACETYLSALICYLIC ACID, 75 mg, tab (1 pallet) has been released from Schachinger warehouse without export document.</t>
  </si>
  <si>
    <t>Customer ICRC placed an order with FCA Incoterm where responsible freight forwarder appointed by customer has been VTS Transport &amp; Logistics. Freight forwarder contacted warehouse on 16.03. regarding collection they would like to process on 17.03, however, AMEX team has not been aware until 17.03. AMEX team requested export document from customs agent, however, warehouse personnel dispatched the order before export document has been issued therefore shipment left without any export docuemnts. Shipment was road shipment to Switzerland.</t>
  </si>
  <si>
    <t>Customs agent has been contacted by AMEX team and export document was printed immediately. Export document was shared with the freight forwarder. Situation was raised with warehouse in order to make sure this will not happen again.</t>
  </si>
  <si>
    <t>26-029</t>
  </si>
  <si>
    <t>Sanofi Pasteur</t>
  </si>
  <si>
    <t xml:space="preserve">UNPD Haiti </t>
  </si>
  <si>
    <t>AMEX shipped 2-8°C vaccines to Haiti . The deviation occured from 6 March to 13 March 2026.The data logger report shows a temperature deviaton of between 1 and 2°C for 6 days and  over 8°C for 15 minutes. The goods were packed in a validated box with gel packs preconditioned under 2-8°C winter mode. The goods were collected from Schachinger wearehouse on 06 March 2026, arrived in Miami on 8 March 2026 , they arrived in Haiti at 8am 13.03.2026. The gel packs were replaced in Miami in a 2-8°C room, the new  gel packs had been  preconditioned to 2-8°Cunder Winter mode per the softbox instructions which we shared with the FF. At all other times, from collection to Hagenbrunn to delivery for Haiti airport to our customer´s premises,  the goods were transported under 15-25°C temperature.</t>
  </si>
  <si>
    <t>Unknown, because boxes were correctly validated. The repacking appears to have been done correctly as there was no spike or dip in the temperature log during the time that the goods were in Miami.</t>
  </si>
  <si>
    <t>Customer was advised that AMEX will advise if the goods are still good to use given the deviation. The manufacturer was contacted, to advise if the goods are still good to use following the deviation. The manufacturer confirmed that based on their stability studies quality of their products was not affected by the temeprature deviation and the goods can be used.</t>
  </si>
  <si>
    <t>26-030</t>
  </si>
  <si>
    <t>Ethypharm, Laboratorio Rubio</t>
  </si>
  <si>
    <t>UNICEF, UNFPA</t>
  </si>
  <si>
    <t xml:space="preserve">UNICEF reported that product received has not been the product they ordered. Instead of receiving 1 pallet of product Hydralazine, UNICEF received to the warehouse in Copenhagen 1 pallet of Magnesium Sulfate. This pallet was supposed to be shipped to UNFPA Djibouti. </t>
  </si>
  <si>
    <t xml:space="preserve">Warehouse Schachinger confirmed that they mixed up pallets during the outbound stage. On March 19th 2026 there was collection scheduled for shipment to UNICEF Denmark (packing list number SHP26-00583). On March 20th, collection for UNFPA Djibouti (packing list SHP26-00461) was scheduled. </t>
  </si>
  <si>
    <t>For the shipment that went to Djbouti - EUR 3675.88</t>
  </si>
  <si>
    <t>AMEX contacted customer UNFPA, informed them about situation and asked for confirmation if wrong pallet has been already delivered and custom cleared. At the same time, AMEX started to organise return shipment from Djibouti. Freight forwarder Kuhne Nagel has been requested to provide shipping solution for pallet to be shipped from Denmark directly to the end user in Djibouti.</t>
  </si>
  <si>
    <t>26-031</t>
  </si>
  <si>
    <t>Euromed</t>
  </si>
  <si>
    <t>20260442-AT</t>
  </si>
  <si>
    <t>On Friday 27 March 2026 we received a shipment of 50 packs of  Engerix B 20micrograms/1ml vaccine suspension for injection pre-filled syringes. Schachinger advised that 1 pack was not sealed. The sealed pack could not be put on stock and was put in quarantine.</t>
  </si>
  <si>
    <t>The pack was likely damaged during packing at supplier warehouse.</t>
  </si>
  <si>
    <t>tbc</t>
  </si>
  <si>
    <t>AMEX requested schachinger to put in quarantine pending return or destruction. The supplier was notified and requested to send a replacement pack. The supplier requested AMEX to destroy the damaged pack.</t>
  </si>
  <si>
    <t>26-032</t>
  </si>
  <si>
    <t>Laboratorio Rubio</t>
  </si>
  <si>
    <t xml:space="preserve">Following the swap under DCR 252 above, the goods intended for Copenhagen that were shipped to Djbouti show  temperature deviation as detailed below: 
Above 25°C – 5hours and 15min (highest temp.26.9°C)
Below 15°C – 4 hours and 45 min (lowest temp. 12°C)
</t>
  </si>
  <si>
    <t>Unclear , however a reading of the data logger report suggest the cause was a mishandling of the pallet by the airline whilst it was in transit.</t>
  </si>
  <si>
    <t>The supplier was contacted and requested to advise if the goods are still fit for use. The supplier confirmed that the goods quality was not compromised</t>
  </si>
  <si>
    <t>26-033</t>
  </si>
  <si>
    <t>S Kant</t>
  </si>
  <si>
    <t>Damien Foundation</t>
  </si>
  <si>
    <t xml:space="preserve">During the transit of the shipment, the temperature was not stable on multiple occasions:
- It dropped below 15°C on 17 March (down to 2.9°C), on 20 March (down to 12.5°C), and on 22 March (down to 10.1°C).
- It exceeded 25°C on 17 March (up to 25.7°C), and on 20 March (up to 61.4°C).
The manufacturer provided the stablity study confirm the product qulaity has not been affected. 
</t>
  </si>
  <si>
    <t>Unclear; FF and airline confirmed that goods were stored in appropriate conditions</t>
  </si>
  <si>
    <t>No</t>
  </si>
  <si>
    <t>The freight forwarder requested the airlines to provide CAPA report.
The freight forwarder provided information from Turkish Airlines to the effect that the shipment has been stored in appropriate temperatures, the supporting telemetry was attached. For this reason Turkish Airlines will not provide CAPA report.</t>
  </si>
  <si>
    <t>26-034</t>
  </si>
  <si>
    <t>HUMAN</t>
  </si>
  <si>
    <t>WHO, UNDP</t>
  </si>
  <si>
    <t xml:space="preserve">20251428, 20245386-1 </t>
  </si>
  <si>
    <t>Supplier HUMAN shared with AMEX safety notice informing that target values of SERODOS,
SERODOS plus, HumaTrol N and HumaTrol P that need to be updated for CALCIUM liquicolor,
SODIUM liquicolor and POTASSIUM liquiUV.
After investigating internally, it was identifed that produtcs HumaTrol N and HumaTrol P with affecdted bacthes (HumaTrol N LOT 0009 and HumaTrol P LOT 007) were delivered to WHO and products HumaTrol N, HumaTrol P and Serodos with affecdted bacthes (HumaTrol N LOT 0009, HumaTrol P LOT 007 and Serodos 0008) were delivered to UNDP</t>
  </si>
  <si>
    <t>N/A - safety notice issued by supplier</t>
  </si>
  <si>
    <t>Impacted customers informed and signed receipt form returned to the supplier</t>
  </si>
  <si>
    <t>26-035</t>
  </si>
  <si>
    <t>UNPD-UNMISS</t>
  </si>
  <si>
    <t>During transportation of replacement pack for the damaged pack reported under 26-031, there was a temperature deviation of 0.2°C for an hour</t>
  </si>
  <si>
    <t>Could not have been determined</t>
  </si>
  <si>
    <t xml:space="preserve">Supplier advised that product licenses deal with whole values for temperature deviation, no stability data is needed for a 0.2°C deviation as the product is safe to use </t>
  </si>
  <si>
    <t>26-036</t>
  </si>
  <si>
    <t>Lumn Labs</t>
  </si>
  <si>
    <t xml:space="preserve">One carton of RUTF was found not to have the details of the batch number, manufacturing or expiry date printed on it. Inside the carton we found product with BN T-251205, Mfg date: 26/12/2025, Exp 12/2027. </t>
  </si>
  <si>
    <t>To be determined, OP Focal Point, Qusai has communicated to the supplier</t>
  </si>
  <si>
    <t>To be determined</t>
  </si>
  <si>
    <t>Supplier to be informed, and investigate.
Deviation no. 26-0038 raised. Manufacturer issued investioagion report dated 02.05.2026 that concluded that the nonconformity was isolated, and identified the rootcause as inadequate control during replacement of  damaged carton at loading. Product quality, safety remained unaffected. Training records for Production and Store pesonell provided in support of the CAPA.</t>
  </si>
  <si>
    <t>26-037</t>
  </si>
  <si>
    <t xml:space="preserve">Wego Sutures </t>
  </si>
  <si>
    <t>All 36 outer cartons of WEGO sutures were received without batch number, manufacturing date, or expiry date on the secondary packaging, requiring full carton opening to identify contents and ensure traceability.</t>
  </si>
  <si>
    <t>26-038</t>
  </si>
  <si>
    <t>IRC Somalia</t>
  </si>
  <si>
    <t>20260802-AT</t>
  </si>
  <si>
    <t xml:space="preserve">One Carton of RUTF, under complaint no, 26-0036 (missing BN, Mfg &amp; Exp Dates, is labelled by hand with details of the batch number, manufacturing or expiry date printed on it. We referenced the product in the carton with BN T-251205, Mfg date: 26/12/2025, Exp 12/2027. </t>
  </si>
  <si>
    <t>Lumn Labs: ailure to ensure re-identification of replacement cartons during shipment loading, resulting in
omission of mandatory outer carton labeling information.</t>
  </si>
  <si>
    <t>Lumn Labs: Confirmation of single-carton deviation from customer feedback and internal review. 
Verification of batch records and packing documentation. 
Confirmation that inner sachets were fully compliant and traceable. 
Review of dispatch records confirming correct release of shipment. Communication with customer acknowledging investigation initiation</t>
  </si>
  <si>
    <t>The investigation confirmed that the nonconformity was an isolated incident affecting one carton out of 420.
The root cause was identified as inadequate control during replacement of a damaged carton at shipment loading,
resulting in omission of outer carton labeling. Product quality, safety, and unit-level traceability remained
unaffected. Corrective and preventive actions have been implemented to strengthen GDP compliance and
prevent recurrence.</t>
  </si>
  <si>
    <t>04.05.2026</t>
  </si>
  <si>
    <t>26-039</t>
  </si>
  <si>
    <t>Relief International</t>
  </si>
  <si>
    <t>20260575-AT</t>
  </si>
  <si>
    <t>3 cartons invoiced to this customer shall be relabelled manually by AMEX if the supplier does not resolve the complaint in time</t>
  </si>
  <si>
    <t>26-040</t>
  </si>
  <si>
    <t>AMEX Kenya</t>
  </si>
  <si>
    <t>SOP KE 12 - Environmental Monitoring</t>
  </si>
  <si>
    <t xml:space="preserve">Data Logger serial number 241000790U had not been collecting data from 11th March 2026. The only available data was from 2024. </t>
  </si>
  <si>
    <t>The root cause is uncertain but after the data logger was re-configured data collection restarted from 13th April 2026.</t>
  </si>
  <si>
    <t>The data loggers close to location A121, where the data logger serial number 241000790U was located, were reviewed to identify any potential temperature excursion that would have occurred. No excursions were observed therefore, the temperatures were expected to have been under 25 degrees Celsius throughout this time.</t>
  </si>
  <si>
    <t>26-041</t>
  </si>
  <si>
    <t>20245386, 20251428</t>
  </si>
  <si>
    <t>On 01.04.2026., Amex received an updated important customer notification (ICN) (see line: 26-034) regarding items: SERODOS, SERODOS plus, HumaTrol N, HumaTrol P. Information about impacted batches was also shared.
Please refer to ICN for more details (uploaded: F:\1_Corporate\Quality Management System\SOP 5 - DCR Tracker and Reports\DCR Reports 2026\26-041 HUMAN safety notice (important customer notification)).</t>
  </si>
  <si>
    <t xml:space="preserve">Impacted projects/customers identified by Amex QA team and ICN was shared with them. HUMAN was informed that this was actioned. </t>
  </si>
  <si>
    <t>26-042</t>
  </si>
  <si>
    <t>14.04.2026</t>
  </si>
  <si>
    <t>20230201-13</t>
  </si>
  <si>
    <t>Label showed incorrect shortest expiry date.</t>
  </si>
  <si>
    <t>OP didn't update the manually created label. The error was identified by the customer after arrival of the cargo. The labels have been physiaclly replaced at the customer's warehouse.</t>
  </si>
  <si>
    <t>194 EUR</t>
  </si>
  <si>
    <t xml:space="preserve">The labels have been corrected and sent ot the customer. AMEX issued and sent a credit note, for the physical replacement of the labels by the customer. </t>
  </si>
  <si>
    <t>Automatic generation of the relevant documents (content list/label) through the ERP system is developed and after its final testing, will be completed within next three months Until the automatic generation is fully implemented, the team responsible for creating documents for assembled kits must ensure that a two-step verification system is followed. This means that all documentation must be doble-checked by two different team members.</t>
  </si>
  <si>
    <t>The following has been done and is effective immediately:
1.	The documents were corrected and replaced.
Next steps:
1.	The automatic generation of the documents is expected to be launched within next three months.</t>
  </si>
  <si>
    <t>26-043</t>
  </si>
  <si>
    <t xml:space="preserve">UNRWA </t>
  </si>
  <si>
    <t>20232146-AT</t>
  </si>
  <si>
    <t>After receiving the Cefuroxime 125mg/5ml Oral Suspension in our warehouse (Schachinger), which was shipped from the supplier Sance in India, the data logger report indicated a temperature drop to 4.9°C. The product’s temperature range is 15-25°C, and the temperature remained below 15°C for approximately 2 days.</t>
  </si>
  <si>
    <t xml:space="preserve">A fluctuating truck temperature gauge is usually caused by an inconsistent supply of coolant, a malfunctioning sensor, or a mechanical issue regulating engine heat, may be failing thermostat, trapped air, low coolant levels, a wearing water pump, or an erratic radiator. </t>
  </si>
  <si>
    <t xml:space="preserve">The supplier was contacted and they confirmed the products are still safe for usage. </t>
  </si>
  <si>
    <t>26-044</t>
  </si>
  <si>
    <t>cwambui</t>
  </si>
  <si>
    <t>TrusCare</t>
  </si>
  <si>
    <t>Kenya Stock</t>
  </si>
  <si>
    <t>During importation, the invoice and packing list stated we were receiving Nasal Oxygen Cannulas, the batch number was not stated in these two documents.
The CoA states Nasal Oxygen Cannulas, gives a batch number and has details of neonate, pediatric &amp; adult Nasal Oxygen Cannulas and each category has different dimensions on the Nasal Sucker.
Additionally, all the Nasal Cannula's were packed in the same carton (secondary packaging). 
While receiving the products, they were all received as one "item" although they are different items because they have different specifications. This posed a risk of the items being sold as one without proper clarification of the sizes and quantities per size.</t>
  </si>
  <si>
    <t>Root cause is uncertain. There were no checks to confirm these details across the three documents and supplier was not told to split the different items.</t>
  </si>
  <si>
    <t>The items were all physically sorted to separate the 2 SKUs and accurately booked on SOFIA to reflect what was physically received</t>
  </si>
  <si>
    <t>26-045</t>
  </si>
  <si>
    <t>20/04/2026</t>
  </si>
  <si>
    <t>mbisercic, jsanguino</t>
  </si>
  <si>
    <r>
      <rPr>
        <i/>
        <sz val="11"/>
        <color rgb="FF000000"/>
        <rFont val="Calibri"/>
        <family val="2"/>
      </rPr>
      <t>Note: This complaint is related to complaint</t>
    </r>
    <r>
      <rPr>
        <i/>
        <sz val="11"/>
        <color rgb="FFFF0000"/>
        <rFont val="Calibri"/>
        <family val="2"/>
      </rPr>
      <t xml:space="preserve"> </t>
    </r>
    <r>
      <rPr>
        <i/>
        <sz val="11"/>
        <color rgb="FF000000"/>
        <rFont val="Calibri"/>
        <family val="2"/>
      </rPr>
      <t>26-019</t>
    </r>
    <r>
      <rPr>
        <i/>
        <sz val="11"/>
        <color rgb="FFFF0000"/>
        <rFont val="Calibri"/>
        <family val="2"/>
      </rPr>
      <t>.</t>
    </r>
    <r>
      <rPr>
        <i/>
        <sz val="11"/>
        <color rgb="FF000000"/>
        <rFont val="Calibri"/>
        <family val="2"/>
      </rPr>
      <t xml:space="preserve"> Despite supplier sending wrong documents, responsible party was marked as AMEX, as AMEX did not properly check shipping documents before sending the product to the customer.
</t>
    </r>
    <r>
      <rPr>
        <sz val="11"/>
        <color rgb="FF000000"/>
        <rFont val="Calibri"/>
        <family val="2"/>
      </rPr>
      <t xml:space="preserve">
FHI360 received complaint from Chemonics Haiti, related to shipment under PO10029398 of 1398 Super W3 Thick Bleach, 5L (Sodium hypochlorite solution 5%), lot 5331. The certificate of analysis (COA) issued by manufacturer Mirirus Global Hygiene Solutions indicates product's expiry date is November 27, 2026. Amex’s invoice specifies the same. The  COA and invoice issued by the Avonchem Diagnostics Limited, the UK distributor of this product, indicate another expiry date: January 31, 2027. Both COAs have the same manufacturing date November 27, 2025
Further to this, it was raised that the bottle did not have a batch number printed
</t>
    </r>
  </si>
  <si>
    <t xml:space="preserve">Amex completed a first virtual inspection of the palletized cargo and identified a discrepancy between the manufacturer's expiration date (Mirus) and the supplier's (Avonchem), the discrepancy was 3 months added on the supplier's certificate of analysis. The Amex team pushed for the amendment to the correct date, which would be the manufacturer's date. The supplier (Avonchem) did not amend this, and the wrong expiration date was placed on the documents and cargo. The incorrect dates on the shipping documents were overlooked as AMEX received written confirmation that the palletized cargo would have the correct information (manufacturer's expiration date). 
when this was raised with Avonchem, they stated that January 2027 instead of November 2026 was put as a expiry date in order to keep 12 months shelf life from shiping rather than from manufacturing. The actual manufacturer of the product supported this with the statement that thick bleach presenting the standard shelf life of 12 months from date of manufacture would be widely considered to have retained it’s performance characteristics for a further 2 months, that is, 14 months in total from DOM. If the where the product has been stored in suitably neutral conditions and not opened and partly used, this assumption would apply.
As for the missing batch number on the bottle, the manufacturer has stated that for non-retail products, the batch number is not mandatory to be printed on the primary bottle, but only on the distribution packaging (i.e., the box, which does have the batch printed), which was clrarly communicated with Chemonics procurment team before the product was shiped.
</t>
  </si>
  <si>
    <t>Updated CoA from the Avonchem with November 2026 as expiry date is shared with FHI360</t>
  </si>
  <si>
    <t>26-046</t>
  </si>
  <si>
    <t>Medopharm</t>
  </si>
  <si>
    <t>20260357-AT</t>
  </si>
  <si>
    <t>Carton / boxes torn/cut &amp; the shrink wrap cut/torn (shrink wraps that were damaged were taped back in clear tape):
Doxycycline, Ibuprofen, Amoxicillin, Metformin, Omeprazole, Folic Acid, Paracetamol.
Unit pack of products that was torn and the blister packs with the medicines were “exposed”:
Doxycycline (1) &amp; Ibuprofen (1)
Unit pack that has inaccurate quantities:
Doxycycline – the unit pack that was torn has 99 blister packs contrary to the 100 blister packs as per the product label
Metformin: Unit pack with a cut seal:</t>
  </si>
  <si>
    <t>TBC: FF informed, investigation ongoing</t>
  </si>
  <si>
    <t xml:space="preserve">The damaged items were physically separataed from the rest of the stock awaiting investigation </t>
  </si>
  <si>
    <t>26-047</t>
  </si>
  <si>
    <t>The damaged items were physically seprataed from the rest of the stock awaitng investigation into the final way forward</t>
  </si>
  <si>
    <t>26-048</t>
  </si>
  <si>
    <t>The pack with the missing item was physically seprataed from the rest of the stock awaitng investigation into the final way forward</t>
  </si>
  <si>
    <t>26-049</t>
  </si>
  <si>
    <t>26-050</t>
  </si>
  <si>
    <t>Gland Pharma</t>
  </si>
  <si>
    <t>20252223, 20252331, 2025216, 20252661</t>
  </si>
  <si>
    <t>Data logger report showed deviation above 25°C for approximately 4 hours, with a peak temperature at 55.7°C.</t>
  </si>
  <si>
    <t>26-051</t>
  </si>
  <si>
    <t>Stock</t>
  </si>
  <si>
    <t>Data logger report showed deviaiton below 15°C for 5 hours, with peak at 12.5°C and 3 deviations for 2 hours, 1.5 hours and 40 minutes, with peak tempearture at 29.9°C, 29.6°C and 26.8°C, respectively.</t>
  </si>
  <si>
    <t>26-052</t>
  </si>
  <si>
    <t>FHC Farmaceutica</t>
  </si>
  <si>
    <t>Data logger report showed deviation above 25°C for approximately 2 hours, with a peak temperature at 37.5°C.</t>
  </si>
  <si>
    <t>26-053</t>
  </si>
  <si>
    <t>Senador</t>
  </si>
  <si>
    <t>Data logger report showed deviation above 25°C for approximately 12 hours, with a peak temperature at 31.3°C.</t>
  </si>
  <si>
    <t>26-054</t>
  </si>
  <si>
    <t>Missionpharma</t>
  </si>
  <si>
    <t>Data logger report showed deviation above 25°C for approximately 2 hours, with a peak temperature at 27.5°C.</t>
  </si>
  <si>
    <t>26-055</t>
  </si>
  <si>
    <t xml:space="preserve">Randox Laboratories Ltd. </t>
  </si>
  <si>
    <t>Randox Laboratories sent a safety notice notifying that the analyte LDH had been assigned incorrectly and requires the targets and ranges to be reassigned on the Randox RX series - in particular HE1532 lots 1480UE, 1441UE, 1479UE, 1521UE, 1481UE and HS2611 batch 772647.
After checking internal records, one project 20250342 was identifed to contain items human analyzer with batch 1481UE. The customer was informed and reply form was sent to supplier.</t>
  </si>
  <si>
    <t>N/A - safety notice from the supplier</t>
  </si>
  <si>
    <t>Project was identifed and customer informed.
Reply form was sent to the supplier</t>
  </si>
  <si>
    <t>26-056</t>
  </si>
  <si>
    <t>Laboratorio Aldo-Union S.L.</t>
  </si>
  <si>
    <t>26-057</t>
  </si>
  <si>
    <t>BEXEN CARDIO</t>
  </si>
  <si>
    <t xml:space="preserve">AMEX was informed by the supplier about the safety notice related to defibrillator REANIBEX-300, delivered under two project.
It was reported to them that some units had issues with turning on button, and in the attached safety notice you can see updated IFU.
Customer was informed and the confrimation of receipt was sent to Amex.
</t>
  </si>
  <si>
    <t>Customers informed</t>
  </si>
  <si>
    <t>26-058</t>
  </si>
  <si>
    <r>
      <rPr>
        <i/>
        <strike/>
        <sz val="11"/>
        <color rgb="FF000000"/>
        <rFont val="Calibri"/>
        <family val="2"/>
        <scheme val="minor"/>
      </rPr>
      <t xml:space="preserve">Not classified as complaint per se, as UNDP organised thr shipment and only asked for confirmation of goods stability.
</t>
    </r>
    <r>
      <rPr>
        <strike/>
        <sz val="11"/>
        <color rgb="FF000000"/>
        <rFont val="Calibri"/>
        <family val="2"/>
        <scheme val="minor"/>
      </rPr>
      <t xml:space="preserve">
Amex was informed by UNDP that during shipment of Cotrimoxazole 120mg DT, a temperature excursion occurred. Affected batches are 25J047 and 25J048.
Although the excursion lasted only a few hours, the maximum temperature exceeded the conditions covered by the accelerated stability studies (maximum temperature recorded: 43.9°C). </t>
    </r>
  </si>
  <si>
    <t>N/A - UNDP organised the shipment</t>
  </si>
  <si>
    <t>Medopharm contacted to confirm stability</t>
  </si>
  <si>
    <t>Not considered complaint thus deleted</t>
  </si>
  <si>
    <t>26-059</t>
  </si>
  <si>
    <t>Goods that were accidentally shipped to Djbouti per DCR 26-252 (also related to DCR26-032) arrived in Vienna on 7 May 2026. On the 8th of May , the data loggers reports shared showed a temperature deviation during shipment of upto  34,1°C 1 hour 15minutes and below 15°C , upto 5 °C for 1 day 2 hours and 30min.</t>
  </si>
  <si>
    <t>Unclear: the FF did not keep the goods under the correct conditions</t>
  </si>
  <si>
    <t>The manufacturer was approached to advise on the deviation. Response is pending</t>
  </si>
  <si>
    <t>26-060</t>
  </si>
  <si>
    <t xml:space="preserve">HUMAN Gesellschaft für Biochemica und Diagnostica mbH </t>
  </si>
  <si>
    <t>SCI</t>
  </si>
  <si>
    <t>The goods shipped by Kuehne Nagel from Cargo partner warehouse to Yangon airport showed  the deviation:
Temperature exceeded 8°C for a total duration of 11 hours and 30 minutes, with a maximum recorded temperature of 9.9°C. Temperature dropped below 2°C for approximately 2 days, with a minimum recorded temperature of below 2°C.   Supplier advised that 1 item (GOT kits ((ASAT) IFCC mod. liquiUV) was stable and could be used but the 2nd item (GPT kits) could no longer be used.
AMEX non-pharma warehouse does not have the correct temperature control boxes to allow safe shipment of 2-8°C products - under investigation.</t>
  </si>
  <si>
    <t>Under further investigation.</t>
  </si>
  <si>
    <t>Pending estimate</t>
  </si>
  <si>
    <t>Supplier was notified and requested to advise on product stability. Once supplier's feedback was received the customer was notified that 1 item was no longer stable and given the options to receive a credit note or a replacement items</t>
  </si>
  <si>
    <t>26-061</t>
  </si>
  <si>
    <t>Stock received from S Kant of Paracetamol, showed a temperature deviation of upto 33,3°C for 13hours and 50minutes . Supplier confirmed that goods were not affected by the temperature deviation and are still safe to use</t>
  </si>
  <si>
    <t xml:space="preserve">Improper handling at the airport. Goods were left on the tarmac. </t>
  </si>
  <si>
    <t xml:space="preserve">Supplier was contacted to share advise on product stability. </t>
  </si>
  <si>
    <t>26-062</t>
  </si>
  <si>
    <r>
      <rPr>
        <sz val="11"/>
        <color rgb="FF000000"/>
        <rFont val="Calibri"/>
        <family val="2"/>
        <scheme val="minor"/>
      </rPr>
      <t xml:space="preserve">A data logger was missing from this shipment of Salbutamol
</t>
    </r>
    <r>
      <rPr>
        <i/>
        <sz val="11"/>
        <color rgb="FF000000"/>
        <rFont val="Calibri"/>
        <family val="2"/>
        <scheme val="minor"/>
      </rPr>
      <t>Products under assessment</t>
    </r>
  </si>
  <si>
    <t>Supplier warehouse forgot to add a data logger.</t>
  </si>
  <si>
    <t>Supplier was contacted to understand why a data logger was missing. Freight fowarders were contacted to share vehicle temperature logs .</t>
  </si>
  <si>
    <t>26-063</t>
  </si>
  <si>
    <t xml:space="preserve">AB Diagnostic Systems </t>
  </si>
  <si>
    <t>Items (HIV tests: Item number I-1654/1.2-DS-EIA-HIV-AGAB-SCREEN) were received in Tajikistan with a temperature deviation. Products were exposed to temperatures outside the recommended storage range.</t>
  </si>
  <si>
    <t>Unclear. As per the dataloggers recordings, the product was exposed to temperatures outside the recommended storage ranged (2 to 8) from the 17th April until the 25th April. This period coincides with the time of delivery of the goods from the supplier to Tashkent. At the same time, the delivery from Tashkent to Dushanbe was carried out in compliance with the required temperature conditions.
The product was therefore exposed to temperatures above 8 degrees for around 8 days, reaching a maximum of 21.1 degrees.</t>
  </si>
  <si>
    <t>Supplier confirmed that goods can be released. UNDP confirmed the case can be closed</t>
  </si>
  <si>
    <t>26-064</t>
  </si>
  <si>
    <t>dmendez</t>
  </si>
  <si>
    <t>BIOBASE</t>
  </si>
  <si>
    <t>Scan Global Logistics</t>
  </si>
  <si>
    <t>One set of items was removed from the cargo without our input. SGL took the decision of removing items and the end-user filed a complaint about them not receiving the complete order</t>
  </si>
  <si>
    <t>The removed items can be classified as DG if the volume during transport exceeds 1 KG or 1 Lt but these were not the case. Either way, SGL responsible agent took the decision to remove them from the cargo without consulting anyone at WHO or AMEX</t>
  </si>
  <si>
    <t>To be determined.</t>
  </si>
  <si>
    <t>Requested SGL and WHO for confirmation on this. SGL is yet to respond and WHO has mentioned they were not aware of this decision taken by the forwarder.</t>
  </si>
  <si>
    <t>26-065</t>
  </si>
  <si>
    <t>02.06.2026</t>
  </si>
  <si>
    <t xml:space="preserve">Internal audit planned for Q1 2026 to verify ISO 9001 CAPAs was done in Q2 2026. Agenda shared on the same day of the internal audit. </t>
  </si>
  <si>
    <t>Part of the evidence required to be reviewed were the MRM minutes for 2025, which were only available at the end of May 2026.</t>
  </si>
  <si>
    <t>Evidence was reviewed on 02.06.2026</t>
  </si>
  <si>
    <t>26-066</t>
  </si>
  <si>
    <t>Strides</t>
  </si>
  <si>
    <t xml:space="preserve">Quality Department (QD) received a request for batch review certificate (BRC) for Cyclosporine 50mg, from Strides. Due to internal restrictions at Strides, pictures could not have been provided. Artwork pictures were shared, however,  NDC number 64380-128-02 on artwork could not have been verified on the FDA website. Further, based on the search on the FDA website and Dailymed, Quality Specialist (QS) found out that Strides manufactures this product for MAH Avet Pharmaceuticals in the USA. Strides was asked to confirm if this is correct and if this product was provided to Amex, which they did. Once confirmation was received, DOE was requested (to prove that product offered to us is identical to Avet’s product marketed in the USA). DOE was finally provided on 26.05.2026.
12-Jun-2026: DOE was reviewed, however, has inconsistencies and further clarifications were requested from Strides. QM is aware and included in the correspondence.
Strides was unresponsive, it was difficult to obtain information and clarification on what was actually sent to Amex. </t>
  </si>
  <si>
    <t>N/A Partner issue report</t>
  </si>
  <si>
    <t>26-067</t>
  </si>
  <si>
    <t>Scan Global / Biobase</t>
  </si>
  <si>
    <t>Forwarder says they cannot ship part of the cargo due to it containing items considered DG by the MSDS, they fall under UN3361. Biobase can't provide correct repacking in compliance with IATA regulations according to SGL and they also cannot provide certification requested by forwarder.
Biobase suggested removing the reagents from the cargo and procuring them locally, or shipping via their own forwarder through FedEx</t>
  </si>
  <si>
    <t>Biobase cannot issue and handle DG contents, and on their end, the cargo does not contain enough liquid reagents to be considered DG. 
SGL on the other hand, considers them DG despire the low quantities and requests that the packaging is IATA compliant.</t>
  </si>
  <si>
    <t>Shared the reagent names to WHO and advised to procure them locally as the cargo was announced 10 months ago, and at this point the shelf life remaining is too low to export and import</t>
  </si>
  <si>
    <t>26-068</t>
  </si>
  <si>
    <t>20253080 + 20252968 + 20252967</t>
  </si>
  <si>
    <t>during the preparation of the shipment, while the goods were being transfered within the warehouse, the secondary packaging was damaged for 30 Packs of Thrombo ASS 100 mg (article number: 36282-51132204.0003 / batch: M03916).</t>
  </si>
  <si>
    <t xml:space="preserve">TBC </t>
  </si>
  <si>
    <t xml:space="preserve">since only the secondary packging was damaged, the customer is asked if they would accept the product - TBC </t>
  </si>
  <si>
    <t>26-069</t>
  </si>
  <si>
    <t xml:space="preserve">WHO Local office in Madagascar claimed that there are 3 missing items (30691-431417 // 33321-L2271-1EA // 32546-5239.1)  from the partial shipment related to PO203774931. When checked internally, C-P confirmed goods were accidentaly not packed and remain at the warehouse. </t>
  </si>
  <si>
    <t>Cargo Partner's team did not pack the products correctly</t>
  </si>
  <si>
    <t>TBC</t>
  </si>
  <si>
    <t>Credit memo issued for the customer.</t>
  </si>
  <si>
    <t>26-070</t>
  </si>
  <si>
    <t>DNA-Technology</t>
  </si>
  <si>
    <t>20260194-AT</t>
  </si>
  <si>
    <t>Manufacturer had the correct certifications during the Offer and the initial stages of the procurement process of the item. However, during the shipping process on their end, they notified that they could proceed with the shipping to CARGO-PARTNER but that they had lost the CE Certification on the item. It still had the CE Labels printed on it and on the packaging but their certificate was revoked and they were in the process of regaining or issuing a new one.
This was communicated to WHO</t>
  </si>
  <si>
    <t>The supplier had very slow response times during the procurement process (2-3 weeks of no response) which is believed to be the time when they were having this issue regarding the CE certificate. When the item was ready to be shipped they informed us about the missing certification and were open to issue a refund if we did not want to proceed. They did not elaborate on how this certificate was lost.</t>
  </si>
  <si>
    <t>The issue was taken to WHO and after some internal discussion they decided that the best course of action would be to cancel the item line. We requested a refund from DNA-Technology and they complied</t>
  </si>
  <si>
    <t>26-071</t>
  </si>
  <si>
    <t>Pharmahouse</t>
  </si>
  <si>
    <t>UNMISS</t>
  </si>
  <si>
    <t xml:space="preserve">Keep Cool shipment of vaccines to Uganda (FCA Fischamend) - Datalogger report showed that temperature went down to -0,1°C for 3h.    Report sent to supplier of the vaccines:  Sanofi and GSK.    Sanofi gave green light, but GSK recommended to reject their product.     </t>
  </si>
  <si>
    <t>Goods were packed and shipped in a Silverpod Medium, with „2-8 All Year“ Packing Instructions.      We instructed the freight forwarder DHL Global Forwarding to pickup the pallet and store at Vienna airport at ambient temperature (not keep cool), to avoid freeze shock.   Still, the temperature went down to -0,1°C during the first hours after the pickup</t>
  </si>
  <si>
    <t>GBP 10913 plus shipping</t>
  </si>
  <si>
    <t>Customer was informed not to use the affected vaccine.   Amex has re-ordered the product and will arrange shipment to Entebbe</t>
  </si>
  <si>
    <t>26-072</t>
  </si>
  <si>
    <t>Crescent</t>
  </si>
  <si>
    <t xml:space="preserve">While repacking, warehouse personnel reported 24 pressed packs of Olanzapine 5 mg tablets without any other significant damage. </t>
  </si>
  <si>
    <t>Root cause unknown.</t>
  </si>
  <si>
    <t>31.44 EUR</t>
  </si>
  <si>
    <t>Based on the photo received from the warehouse, it was decided to release 24 packs. The customer was asked to confirm acceptance of these packs and agreed to accept them with a discount.</t>
  </si>
  <si>
    <t>26-073</t>
  </si>
  <si>
    <t>Direct relief</t>
  </si>
  <si>
    <t>During inbound procedure was noticed that Doxycycline Hyclate 100 mg was supplied in form of tablets instead capsules, as previously ordered.</t>
  </si>
  <si>
    <t>The supplier confirmed that an error occurred during order processing, resulting in the selection of film-coated (FC) tablets for production instead of capsules, as specified in the received purchase order.</t>
  </si>
  <si>
    <t>The customer was asked whether they would accept a change in formulation. The supplier was requested to provide commercial support to mitigate the impact, and agreed to an 8% discount.</t>
  </si>
  <si>
    <t>26-074</t>
  </si>
  <si>
    <t>As per SOP 5 - Deviations, Complaints, Recalls and CAPA Management, Quality should perform quarter analysis of all DCR entries to identify if any reoccurring issue has happened. on 1st June DCR analysis was done for Q1 and half of Q2, leaving only for entries to be analysed in Q2, thus decision is taken no separate DCR analysis will be done in Q2, but rather remaining entries from Q2 will be included in Q3 analysis.
This will not impact in any way overall trend identification, as annual trending analysis will be done in addition to quarterly analyses.</t>
  </si>
  <si>
    <t>Q1 analysis was delayed due to capacity issues (one team member on the extended sick leave and two inspections done in the period), and at the time it is done Quality Specialist included all entries from the beginning of year. The exact root cause can not be determined, as Quality Specialist is no longer at Amex.</t>
  </si>
  <si>
    <t>Deviatio open to capture deviation from the SOP</t>
  </si>
  <si>
    <t>26-075</t>
  </si>
  <si>
    <t>An Urgent Field Safety Notice was issued for GLUCOSE liquicolor used on HumaStar 100, 200, and 300SR analyzers. Internal investigations identified that, in rare cases, the assay may report falsely low glucose results for samples with concentrations above 450 mg/dL, with results potentially 15–40% below the actual value. For samples exceeding the measuring range (&gt;500 mg/dL), affected systems may fail to correctly report results as above the measuring range.</t>
  </si>
  <si>
    <t>Following a confirmed customer complaint and subsequent internal investigations, HUMAN determined that the issue was related to the instrument settings/database used with the GLUCOSE liquicolor assay on certain HumaStar analyzers. The existing settings could, in rare cases, lead to incorrect glucose result calculations at high concentrations. To address the issue, HUMAN developed and released optimized settings for HumaStar 100, 200, and 300SR systems.</t>
  </si>
  <si>
    <t>Communicated the issue to affected customers and shared the manufacturer's Urgent Field Safety Notice.</t>
  </si>
  <si>
    <t>26-076</t>
  </si>
  <si>
    <t xml:space="preserve">20242357-1
</t>
  </si>
  <si>
    <t>During internal quality assurance activities, HUMAN identified that the concentration value of CHOLESTEROL liquicolor in AUTOCAL REF 13160 LOT 0019 increased over time. When this calibrator lot was used with the affected CHOLESTEROL liquicolor reagent kits, it caused falsely low cholesterol results in patient samples by up to 12%. The same issue occurred when using the kit standards included in the affected CHOLESTEROL liquicolor reagent kits. The affected calibrator value was revised from 311 mg/dL to 348 mg/dL (12% deviation). Corresponding kit standard values were also revised.</t>
  </si>
  <si>
    <t>The Field Safety Notice states that the issue was caused by an increase in the concentration of the cholesterol calibrator material over time in AUTOCAL REF 13160 LOT 0019. The document does not provide a detailed technical root cause (e.g., formulation change, stability failure, manufacturing deviation, storage condition, or analytical method issue). The confirmed cause is therefore: time-dependent change in calibrator concentration leading to incorrect assigned calibration values and inaccurate patient results.</t>
  </si>
  <si>
    <t>26-077</t>
  </si>
  <si>
    <t>22/06/2026</t>
  </si>
  <si>
    <t>Leadiant GmbH</t>
  </si>
  <si>
    <t>20260366-AT</t>
  </si>
  <si>
    <t>PO 45214991-1 (item 80, 60 packs S1586070 Procarbazine 50mg capsules PAC-5x10) shipped to Nepal for UNICEF under Project 20260366-AT, SHP26-00548. On arrival 22-06-2026, government partner in Nepal could not switch off or detect the data logger via laptop. On a second attempt 23-06-2026 the logger was switched off, but its recorded date/time did not correspond to the actual shipment timeline (departure at supplier through to Nepal delivery), making the temperature record uninterpretable. The Activation Form (completed by Michael, warehouse) lists logger serial 7214 0420 917, while the retrieved LIBERO PDF report is for device ID 7214 0419 923 — a different serial — raising the question of whether one or two data loggers traveled with the shipment. The mismatched LIBERO report itself shows an ALARM: 2 excursions above 25.0°C (longest 21h30m, total 1d 5h out of range), high of 42.9°C, avg 28.1°C.</t>
  </si>
  <si>
    <t>Pending investigation — need to confirm with warehouse (Michael), supplier (Leadiant), freight forwarder, and the data logger company whether one or two loggers were used, which device actually traveled with the goods, and why the recorded timestamps don't align with the shipment timeline</t>
  </si>
  <si>
    <t>26-078</t>
  </si>
  <si>
    <t>28-04-2026</t>
  </si>
  <si>
    <t>Neolpharma</t>
  </si>
  <si>
    <t>Consignee in Ecuador reported a shortage of 61,445 units of Metformin 850mg (Hydrochloride) tablets, blister 10x3, across multiple batches within shipment under PO 20251809 (invoiced 406,184 units vs. received 344,739 units), spanning what the customer says are Containers 2 and 3. A joint meeting was held with supplier, customer, freight forwarder, and AMEX Operations Manager (Claudina) to review both sides: the supplier maintains everything was dispatched complete, while the customer maintains not everything was received. Vivek and Amila subsequently requested Jeison (PAHO) arrange a recount of the affected container and release of the unaffected container(s); after an extended delay, Jeison confirmed the consignee had already released all goods to hospitals in need and is now requesting a credit note for the missing quantities — meaning a physical recount is no longer possible.</t>
  </si>
  <si>
    <t xml:space="preserve">	Pending final confirmation — Claudina and the supplier jointly reviewed the full packing list and produced a reconciliation analysis (see Metformin Analysis doc) concluding the shortage is concentrated entirely in Container No. 2 (16 of 36 pallets, ~50% of that container's expected content), with no evidence of carton-level packing discrepancies. This is a direct contradiction of the customer's claim, which attributes the shortage to Containers 2 and 3. Weight-based verification (comparing declared gross weights of all three containers against BoL/packing lists) is recommended as the next step but has not yet been completed/confirmed.</t>
  </si>
  <si>
    <t>26-079</t>
  </si>
  <si>
    <t xml:space="preserve">Multiple customers </t>
  </si>
  <si>
    <t>On 11.08 Quality Team has become aware of a voluntary recall notification, category II, level I of all
batches listed in QA26/123-Annex 1 (that are still within their approved shelf life), following the identification of certain out-of-specification (OOS) results during ongoing stability testing.</t>
  </si>
  <si>
    <t>Out-of-specification (OOS) results during ongoing stability testing.</t>
  </si>
  <si>
    <t>The following steps have been taken immediately (by 12.08.2026):
- Acknowledgement email sent to Remedica
- Internal batch/stock records were checked against Amex ERP system
- Emails have been sent to Schachinger and Kenya warehouse, to reconfirm any available stock
- Emails have been sent to all affected customers</t>
  </si>
  <si>
    <t>26-080</t>
  </si>
  <si>
    <t>jferrari</t>
  </si>
  <si>
    <t>On 06.08 UNDP writes to AMEX to inform that they identified a discrepancy in the retest dates indicated on the product documentation of potassium bromide from Carl Roth received under Invoice No. INV26-00633.
Specifically the following retest dates were noted:
•	Product label: 30 June 2029
•	Invoice: 22 October 2030
•	Certificate of Analysis (CoA): 2 January 2030</t>
  </si>
  <si>
    <t>After UNDP shared the pictures of the item, we could see that previoulsy the wrong CoA has been sent (for the wrong batch number). The correct batch number is 046386028 and correct CoA has ben sent, with retest date matching the one on the label. Regarding the date on the invocie, this was likely a human typo.</t>
  </si>
  <si>
    <t>none</t>
  </si>
  <si>
    <t>Correct CoA provided to UNDP, correct invoice with correct batch number and restes date provided</t>
  </si>
  <si>
    <t>26-081</t>
  </si>
  <si>
    <t>20261026-AT</t>
  </si>
  <si>
    <t>1. An undeclared batch was identified in the received shipment that was not reflected in the shipment documentation. This creates a GSDP/GDP compliance and traceability concern, as the physical stock does not fully reconcile with the accompanying records. Clarification is required on how the batch was included, confirmation of its traceability and release status, and provision of the relevant quality documentation. 
2. Oil staining noted on outer cartons (6 cartons) during receipt inspection of RUTF shipment. Cartons quarantined; sachets not inspected as carton is the saleable unit and opening would constitute a GMP activity outside warehouse scope. 
Awaiting Quality assessment on root cause, distribution suitability, and disposition.</t>
  </si>
  <si>
    <t>1. 
2. Root cause identification of the leakage is only possible upon opening of the cartons. However, the manufacturer recommended destroying the affected material and will issue Amex Healthcare a credit note for six affected cartons.</t>
  </si>
  <si>
    <t>26-082</t>
  </si>
  <si>
    <t>The dossier (AMEX-2025-006) was initially submitted in 2023 using the Interagency Pharmaceutical Product Questionnaire (IAPQ), rather than the AMEX Attachment 3 to SOP 19. As this was the format used at the time of the original submission, the use of the IAPQ is not considered a deficiency in itself. The dossier should nevertheless be assessed against the current AMEX requirements, and any information required under Attachment 3 that is not adequately addressed in the submitted documentation should be requested as a clarification.</t>
  </si>
  <si>
    <t xml:space="preserve">The dossier was submitted in 2023 using the IAPQ, which was the applicable submission format for customer requesting the dossier through AMEX, rather than the AMEX Attachment 3 of SOP 19. </t>
  </si>
  <si>
    <t>Rather than requiring the manufacturer to resubmit information already provided in the IAPQ, the dossier will be evaluated based on the information submitted, with the assessment conducted in accordance with the requirements of SOP 19.</t>
  </si>
  <si>
    <t>26-083</t>
  </si>
  <si>
    <t>Sanofi    and Euromed</t>
  </si>
  <si>
    <t xml:space="preserve">UNPD- UNMISS </t>
  </si>
  <si>
    <t>Customer`s FF and personnel</t>
  </si>
  <si>
    <t xml:space="preserve">Customer collected order for AMEX warehouse on 07.07.2026. On 27.07.2026, customer requested assistance to assess the stability of the product as their data logger report showed a temperature excursion from 15-18 July 2026. The excursion affected 2 vaccines from Sanofi (Anti-Rabies and Influenza vaccine ) and 1 vaccine from GSK (Hepatisi B) supplied to AMEX by Euormed. Sanofi confirmed that the products were still stable and GSK advised that they could not guraantee the stability of the product following the excursion. </t>
  </si>
  <si>
    <t xml:space="preserve">Improper storage during shipping </t>
  </si>
  <si>
    <t xml:space="preserve">AMEX reached out to ths suppliers and shared feedback with the customer. Sanofi confirmed that the products were still stable and GSK advised that they could not guraantee the stability of the product following the excursion. </t>
  </si>
  <si>
    <t>26-084</t>
  </si>
  <si>
    <t>UNPD- MONUSCO</t>
  </si>
  <si>
    <t xml:space="preserve">Warehouse </t>
  </si>
  <si>
    <t xml:space="preserve">Schachinger warehouse </t>
  </si>
  <si>
    <t>Customer collected order for AMEX warehouse on 02.09.2026. On 11.09.2026, customer requested assistance to assess the stability of the product as their data logger report showed a temperature excursion from  01 to 04 September 2026 which means the deviation began while the goos were in Schachinger warehouse.</t>
  </si>
  <si>
    <t>Under investigation</t>
  </si>
  <si>
    <t>Schachinger warehouse was requested to investigate the cause of the deviation and share a report of their findings.</t>
  </si>
  <si>
    <t>26-085</t>
  </si>
  <si>
    <t>Reyoung</t>
  </si>
  <si>
    <t>During our ongoing quality review, we became aware of a GMP non-compliance letter issued by the French regulatory authority concerning the active pharmaceutical ingredient source used in the manufacture of this product. The findings include major observations relating to sterility. As a result, AMEX has acted out of an abundance of caution and taken the decision to reject and recall the product</t>
  </si>
  <si>
    <t>Recall Initiated. PPB and SSD DFCA to be notified</t>
  </si>
  <si>
    <t>26-086</t>
  </si>
  <si>
    <t>UNHCR Uganda</t>
  </si>
  <si>
    <t>On 21.09 Quality Team has become aware of a voluntary recall notification, category II, level 2 of all
batches listed in QA26/196-Annex 1 (that are still within their approved shelf life), following the identification of certain out-of-specification (OOS) results during ongoing stability testing.</t>
  </si>
  <si>
    <t>The following steps have been taken immediately (by 23.09.2026):
- Acknowledgement email sent to Remedica
- Internal batch/stock records were checked against Amex ERP system, none of the quantites were delivered to Amex warehouses, the shipments have been handled directly from the supplier to the customer
- Email has been sent to the customer</t>
  </si>
  <si>
    <t>26-087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</si>
</sst>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00_);_(&quot;$&quot;* \(#,##0.00\);_(&quot;$&quot;* &quot;-&quot;??_);_(@_)"/>
    <numFmt numFmtId="165" formatCode="dd/mm/yyyy;@"/>
    <numFmt numFmtId="166" formatCode="_-* #,##0\ [$€-407]_-;\-* #,##0\ [$€-407]_-;_-* &quot;-&quot;\ [$€-407]_-;_-@_-"/>
    <numFmt numFmtId="167" formatCode="&quot;$&quot;#,##0.00"/>
    <numFmt numFmtId="168" formatCode="_([$€-2]\ * #,##0.00_);_([$€-2]\ * \(#,##0.00\);_([$€-2]\ * &quot;-&quot;??_);_(@_)"/>
  </numFmts>
  <fonts count="33">
    <font>
      <sz val="11"/>
      <color theme="1"/>
      <name val="Calibri"/>
      <family val="2"/>
      <scheme val="minor"/>
    </font>
    <font>
      <sz val="11"/>
      <color theme="1"/>
      <name val="Calibri"/>
      <family val="2"/>
      <scheme val="minor"/>
    </font>
    <font>
      <b/>
      <sz val="11"/>
      <color theme="1"/>
      <name val="Calibri"/>
      <family val="2"/>
      <scheme val="minor"/>
    </font>
    <font>
      <sz val="10.5"/>
      <color theme="1"/>
      <name val="Segoe UI"/>
      <family val="2"/>
    </font>
    <font>
      <sz val="14"/>
      <color theme="1"/>
      <name val="Calibri"/>
      <family val="2"/>
      <scheme val="minor"/>
    </font>
    <font>
      <b/>
      <sz val="10.5"/>
      <color theme="1"/>
      <name val="Segoe UI"/>
      <family val="2"/>
    </font>
    <font>
      <b/>
      <sz val="14"/>
      <color theme="1"/>
      <name val="Calibri"/>
      <family val="2"/>
      <scheme val="minor"/>
    </font>
    <font>
      <b/>
      <i/>
      <sz val="11"/>
      <color theme="1"/>
      <name val="Calibri"/>
      <family val="2"/>
      <scheme val="minor"/>
    </font>
    <font>
      <sz val="8"/>
      <name val="Calibri"/>
      <family val="2"/>
      <scheme val="minor"/>
    </font>
    <font>
      <sz val="11"/>
      <color rgb="FF000000"/>
      <name val="Calibri"/>
      <family val="2"/>
      <scheme val="minor"/>
    </font>
    <font>
      <sz val="11"/>
      <name val="Calibri"/>
      <family val="2"/>
      <scheme val="minor"/>
    </font>
    <font>
      <b/>
      <sz val="11"/>
      <color rgb="FF000000"/>
      <name val="Calibri"/>
      <family val="2"/>
    </font>
    <font>
      <sz val="11"/>
      <color rgb="FF000000"/>
      <name val="Calibri"/>
      <family val="2"/>
    </font>
    <font>
      <i/>
      <sz val="11"/>
      <color rgb="FF000000"/>
      <name val="Calibri"/>
      <family val="2"/>
      <scheme val="minor"/>
    </font>
    <font>
      <sz val="11"/>
      <color theme="1"/>
      <name val="Calibri"/>
      <family val="2"/>
      <scheme val="minor"/>
    </font>
    <font>
      <i/>
      <sz val="11"/>
      <color theme="1"/>
      <name val="Calibri"/>
      <family val="2"/>
      <scheme val="minor"/>
    </font>
    <font>
      <sz val="11"/>
      <color rgb="FF242424"/>
      <name val="Aptos Narrow"/>
      <family val="2"/>
    </font>
    <font>
      <strike/>
      <sz val="11"/>
      <color theme="1"/>
      <name val="Calibri"/>
      <family val="2"/>
      <scheme val="minor"/>
    </font>
    <font>
      <strike/>
      <sz val="11"/>
      <color rgb="FF000000"/>
      <name val="Calibri"/>
      <family val="2"/>
    </font>
    <font>
      <sz val="11"/>
      <name val="Calibri"/>
      <family val="2"/>
    </font>
    <font>
      <sz val="10"/>
      <color theme="1"/>
      <name val="Arial"/>
      <family val="2"/>
    </font>
    <font>
      <sz val="11"/>
      <color rgb="FF000000"/>
      <name val="Aptos Narrow"/>
      <family val="2"/>
    </font>
    <font>
      <sz val="12"/>
      <color rgb="FF000000"/>
      <name val="Calibri"/>
      <family val="2"/>
      <scheme val="minor"/>
    </font>
    <font>
      <sz val="12"/>
      <color theme="1"/>
      <name val="Calibri"/>
      <family val="2"/>
      <charset val="1"/>
    </font>
    <font>
      <b/>
      <sz val="11"/>
      <color rgb="FF000000"/>
      <name val="Calibri"/>
      <family val="2"/>
      <scheme val="minor"/>
    </font>
    <font>
      <i/>
      <sz val="11"/>
      <color rgb="FF000000"/>
      <name val="Calibri"/>
      <family val="2"/>
    </font>
    <font>
      <i/>
      <sz val="11"/>
      <color rgb="FFFF0000"/>
      <name val="Calibri"/>
      <family val="2"/>
    </font>
    <font>
      <sz val="11"/>
      <color theme="1"/>
      <name val="Calibri"/>
      <family val="2"/>
    </font>
    <font>
      <strike/>
      <sz val="11"/>
      <color rgb="FF000000"/>
      <name val="Calibri"/>
      <family val="2"/>
      <scheme val="minor"/>
    </font>
    <font>
      <i/>
      <strike/>
      <sz val="11"/>
      <color rgb="FF000000"/>
      <name val="Calibri"/>
      <family val="2"/>
      <scheme val="minor"/>
    </font>
    <font>
      <b/>
      <sz val="11"/>
      <name val="Calibri"/>
      <family val="2"/>
      <scheme val="minor"/>
    </font>
    <font>
      <sz val="10.5"/>
      <name val="Segoe UI"/>
      <family val="2"/>
    </font>
    <font>
      <sz val="10.5"/>
      <name val="Seqoe ui"/>
    </font>
  </fonts>
  <fills count="10">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rgb="FF000000"/>
      </patternFill>
    </fill>
    <fill>
      <patternFill patternType="solid">
        <fgColor theme="0" tint="-0.34998626667073579"/>
        <bgColor indexed="64"/>
      </patternFill>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164" fontId="14" fillId="0" borderId="0" applyFont="0" applyFill="0" applyBorder="0" applyAlignment="0" applyProtection="0"/>
  </cellStyleXfs>
  <cellXfs count="193">
    <xf numFmtId="0" fontId="0" fillId="0" borderId="0" xfId="0"/>
    <xf numFmtId="0" fontId="0" fillId="0" borderId="0" xfId="0" applyAlignment="1">
      <alignment wrapText="1"/>
    </xf>
    <xf numFmtId="0" fontId="0" fillId="4" borderId="0" xfId="0" applyFill="1"/>
    <xf numFmtId="0" fontId="3" fillId="0" borderId="1" xfId="0" applyFont="1" applyBorder="1" applyAlignment="1">
      <alignment vertical="center" wrapText="1"/>
    </xf>
    <xf numFmtId="0" fontId="2" fillId="3" borderId="1" xfId="0" applyFont="1" applyFill="1" applyBorder="1"/>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49" fontId="4" fillId="6" borderId="2" xfId="0" applyNumberFormat="1"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0" fillId="5" borderId="0" xfId="0" applyFill="1" applyAlignment="1">
      <alignment horizontal="center" vertical="center"/>
    </xf>
    <xf numFmtId="0" fontId="0" fillId="6" borderId="0" xfId="0" applyFill="1"/>
    <xf numFmtId="0" fontId="0" fillId="0" borderId="3" xfId="0" applyBorder="1" applyAlignment="1">
      <alignment horizontal="center" vertical="center"/>
    </xf>
    <xf numFmtId="14" fontId="0" fillId="0" borderId="3" xfId="0" applyNumberFormat="1" applyBorder="1" applyAlignment="1">
      <alignment horizontal="center" vertical="center"/>
    </xf>
    <xf numFmtId="0" fontId="0" fillId="0" borderId="3" xfId="0" applyBorder="1" applyAlignment="1">
      <alignment horizontal="center"/>
    </xf>
    <xf numFmtId="165" fontId="0" fillId="0" borderId="3" xfId="0" applyNumberFormat="1" applyBorder="1" applyAlignment="1">
      <alignment horizontal="center" vertical="center"/>
    </xf>
    <xf numFmtId="0" fontId="0" fillId="0" borderId="3" xfId="0" applyBorder="1"/>
    <xf numFmtId="166" fontId="0" fillId="0" borderId="3" xfId="0" applyNumberFormat="1" applyBorder="1" applyAlignment="1">
      <alignment horizontal="center" vertical="center"/>
    </xf>
    <xf numFmtId="0" fontId="0" fillId="5" borderId="3" xfId="0" applyFill="1" applyBorder="1" applyAlignment="1">
      <alignment horizontal="center" vertical="center"/>
    </xf>
    <xf numFmtId="0" fontId="0" fillId="0" borderId="3" xfId="0" applyBorder="1" applyAlignment="1">
      <alignment wrapText="1"/>
    </xf>
    <xf numFmtId="0" fontId="0" fillId="0" borderId="3" xfId="0" applyBorder="1" applyAlignment="1">
      <alignment horizontal="center" vertical="center" wrapText="1"/>
    </xf>
    <xf numFmtId="166" fontId="0" fillId="0" borderId="3" xfId="0" applyNumberFormat="1" applyBorder="1" applyAlignment="1">
      <alignment horizontal="center" vertical="center" wrapText="1"/>
    </xf>
    <xf numFmtId="0" fontId="12" fillId="0" borderId="3" xfId="0" applyFont="1" applyBorder="1" applyAlignment="1">
      <alignment wrapText="1"/>
    </xf>
    <xf numFmtId="0" fontId="12" fillId="7" borderId="3" xfId="0" applyFont="1" applyFill="1" applyBorder="1" applyAlignment="1">
      <alignment horizontal="center" vertical="center" wrapText="1"/>
    </xf>
    <xf numFmtId="0" fontId="17" fillId="0" borderId="3" xfId="0" applyFont="1" applyBorder="1" applyAlignment="1">
      <alignment horizontal="center" vertical="center" wrapText="1"/>
    </xf>
    <xf numFmtId="0" fontId="18" fillId="0" borderId="3" xfId="0" applyFont="1" applyBorder="1" applyAlignment="1">
      <alignment horizontal="center" vertical="center"/>
    </xf>
    <xf numFmtId="165" fontId="17" fillId="0" borderId="3" xfId="0" applyNumberFormat="1" applyFont="1" applyBorder="1" applyAlignment="1">
      <alignment horizontal="center" vertical="center"/>
    </xf>
    <xf numFmtId="0" fontId="18" fillId="7" borderId="3" xfId="0" applyFont="1" applyFill="1" applyBorder="1" applyAlignment="1">
      <alignment horizontal="center" vertical="center" wrapText="1"/>
    </xf>
    <xf numFmtId="0" fontId="17" fillId="0" borderId="3" xfId="0" applyFont="1" applyBorder="1" applyAlignment="1">
      <alignment horizontal="center" vertical="center"/>
    </xf>
    <xf numFmtId="0" fontId="18" fillId="0" borderId="3" xfId="0" applyFont="1" applyBorder="1" applyAlignment="1">
      <alignment horizontal="center" vertical="center" wrapText="1"/>
    </xf>
    <xf numFmtId="0" fontId="17" fillId="0" borderId="3" xfId="0" applyFont="1" applyBorder="1" applyAlignment="1">
      <alignment wrapText="1"/>
    </xf>
    <xf numFmtId="0" fontId="0" fillId="0" borderId="3" xfId="0" applyBorder="1" applyAlignment="1">
      <alignment vertical="center" wrapText="1"/>
    </xf>
    <xf numFmtId="0" fontId="0" fillId="0" borderId="3" xfId="0" applyBorder="1" applyAlignment="1">
      <alignment horizontal="left"/>
    </xf>
    <xf numFmtId="0" fontId="0" fillId="0" borderId="0" xfId="0" applyAlignment="1">
      <alignment vertical="center"/>
    </xf>
    <xf numFmtId="0" fontId="0" fillId="0" borderId="4" xfId="0" applyBorder="1" applyAlignment="1">
      <alignment horizontal="center" vertical="center"/>
    </xf>
    <xf numFmtId="165" fontId="0" fillId="0" borderId="4" xfId="0" applyNumberFormat="1" applyBorder="1" applyAlignment="1">
      <alignment horizontal="center" vertical="center"/>
    </xf>
    <xf numFmtId="166" fontId="0" fillId="0" borderId="4" xfId="0" applyNumberFormat="1" applyBorder="1" applyAlignment="1">
      <alignment horizontal="center" vertical="center"/>
    </xf>
    <xf numFmtId="0" fontId="0" fillId="0" borderId="4" xfId="0" applyBorder="1"/>
    <xf numFmtId="0" fontId="21" fillId="0" borderId="3" xfId="0" applyFont="1" applyBorder="1" applyAlignment="1">
      <alignment horizontal="center"/>
    </xf>
    <xf numFmtId="14" fontId="21" fillId="0" borderId="3" xfId="0" applyNumberFormat="1" applyFont="1" applyBorder="1" applyAlignment="1">
      <alignment horizontal="center"/>
    </xf>
    <xf numFmtId="0" fontId="21" fillId="0" borderId="3" xfId="0" applyFont="1" applyBorder="1" applyAlignment="1">
      <alignment horizontal="center" wrapText="1"/>
    </xf>
    <xf numFmtId="0" fontId="21" fillId="0" borderId="3" xfId="0" applyFont="1" applyBorder="1" applyAlignment="1">
      <alignment horizontal="center" vertical="center"/>
    </xf>
    <xf numFmtId="14" fontId="23" fillId="0" borderId="3" xfId="0" applyNumberFormat="1" applyFont="1" applyBorder="1" applyAlignment="1">
      <alignment horizontal="center" vertical="center"/>
    </xf>
    <xf numFmtId="0" fontId="17" fillId="5" borderId="3" xfId="0" applyFont="1" applyFill="1" applyBorder="1" applyAlignment="1" applyProtection="1">
      <alignment horizontal="center" vertical="center" wrapText="1"/>
      <protection locked="0"/>
    </xf>
    <xf numFmtId="165" fontId="0" fillId="6" borderId="3" xfId="0" applyNumberFormat="1" applyFill="1" applyBorder="1" applyAlignment="1">
      <alignment horizontal="center" vertical="center" wrapText="1"/>
    </xf>
    <xf numFmtId="49" fontId="0" fillId="0" borderId="3" xfId="0" applyNumberFormat="1" applyBorder="1" applyAlignment="1">
      <alignment horizontal="center" vertical="center" wrapText="1"/>
    </xf>
    <xf numFmtId="0" fontId="12" fillId="0" borderId="3" xfId="0" applyFont="1" applyBorder="1" applyAlignment="1">
      <alignment horizontal="center" vertical="center"/>
    </xf>
    <xf numFmtId="0" fontId="0" fillId="0" borderId="3" xfId="0" applyBorder="1" applyAlignment="1">
      <alignment horizontal="left" vertical="center" wrapText="1"/>
    </xf>
    <xf numFmtId="0" fontId="12" fillId="0" borderId="3" xfId="0" applyFont="1" applyBorder="1" applyAlignment="1">
      <alignment horizontal="left" vertical="center" wrapText="1"/>
    </xf>
    <xf numFmtId="49" fontId="0" fillId="6" borderId="3" xfId="0" applyNumberFormat="1" applyFill="1" applyBorder="1" applyAlignment="1">
      <alignment horizontal="center" vertical="center" wrapText="1"/>
    </xf>
    <xf numFmtId="0" fontId="0" fillId="0" borderId="0" xfId="0" applyAlignment="1">
      <alignment horizontal="center" vertical="center" wrapText="1"/>
    </xf>
    <xf numFmtId="0" fontId="0" fillId="0" borderId="4" xfId="0" applyBorder="1" applyAlignment="1">
      <alignment horizontal="center" vertical="center" wrapText="1"/>
    </xf>
    <xf numFmtId="165" fontId="17" fillId="0" borderId="0" xfId="0" applyNumberFormat="1" applyFont="1" applyAlignment="1">
      <alignment horizontal="center" vertical="center"/>
    </xf>
    <xf numFmtId="0" fontId="17" fillId="0" borderId="0" xfId="0" applyFont="1"/>
    <xf numFmtId="0" fontId="0" fillId="8" borderId="0" xfId="0" applyFill="1" applyAlignment="1">
      <alignment horizontal="center" vertical="center"/>
    </xf>
    <xf numFmtId="0" fontId="0" fillId="8" borderId="3" xfId="0" applyFill="1" applyBorder="1" applyAlignment="1">
      <alignment horizontal="center" vertical="center"/>
    </xf>
    <xf numFmtId="0" fontId="17" fillId="8" borderId="3" xfId="0" applyFont="1" applyFill="1" applyBorder="1" applyAlignment="1" applyProtection="1">
      <alignment horizontal="center" vertical="center" wrapText="1"/>
      <protection locked="0"/>
    </xf>
    <xf numFmtId="0" fontId="0" fillId="8" borderId="4" xfId="0" applyFill="1" applyBorder="1" applyAlignment="1">
      <alignment horizontal="center" vertical="center"/>
    </xf>
    <xf numFmtId="0" fontId="0" fillId="2" borderId="3" xfId="0" applyFill="1" applyBorder="1" applyAlignment="1">
      <alignment horizontal="center" vertical="center" wrapText="1"/>
    </xf>
    <xf numFmtId="165" fontId="0" fillId="2" borderId="3" xfId="0" applyNumberFormat="1" applyFill="1" applyBorder="1" applyAlignment="1">
      <alignment horizontal="center" vertical="center" wrapText="1"/>
    </xf>
    <xf numFmtId="166" fontId="0" fillId="2" borderId="3" xfId="0" applyNumberFormat="1" applyFill="1" applyBorder="1" applyAlignment="1">
      <alignment horizontal="center" vertical="center" wrapText="1"/>
    </xf>
    <xf numFmtId="0" fontId="0" fillId="3" borderId="3" xfId="0" applyFill="1" applyBorder="1" applyAlignment="1">
      <alignment horizontal="center" vertical="center" wrapText="1"/>
    </xf>
    <xf numFmtId="0" fontId="0" fillId="8" borderId="3" xfId="0" applyFill="1" applyBorder="1" applyAlignment="1">
      <alignment horizontal="center" vertical="center" wrapText="1"/>
    </xf>
    <xf numFmtId="0" fontId="0" fillId="6" borderId="3" xfId="0" applyFill="1" applyBorder="1" applyAlignment="1">
      <alignment horizontal="center" vertical="center" wrapText="1"/>
    </xf>
    <xf numFmtId="0" fontId="0" fillId="0" borderId="3" xfId="0" applyBorder="1" applyAlignment="1" applyProtection="1">
      <alignment horizontal="center" vertical="center"/>
      <protection locked="0"/>
    </xf>
    <xf numFmtId="165" fontId="0" fillId="6" borderId="3" xfId="0" applyNumberFormat="1" applyFill="1" applyBorder="1" applyAlignment="1" applyProtection="1">
      <alignment horizontal="center" vertical="center" wrapText="1"/>
      <protection locked="0"/>
    </xf>
    <xf numFmtId="49" fontId="0" fillId="6" borderId="3" xfId="0" applyNumberFormat="1" applyFill="1" applyBorder="1" applyAlignment="1" applyProtection="1">
      <alignment horizontal="center" vertical="center" wrapText="1"/>
      <protection locked="0"/>
    </xf>
    <xf numFmtId="49" fontId="0" fillId="0" borderId="3" xfId="0" applyNumberFormat="1" applyBorder="1" applyAlignment="1" applyProtection="1">
      <alignment horizontal="center" vertical="center" wrapText="1"/>
      <protection locked="0"/>
    </xf>
    <xf numFmtId="49" fontId="0" fillId="6" borderId="3" xfId="0" applyNumberFormat="1" applyFill="1" applyBorder="1" applyAlignment="1" applyProtection="1">
      <alignment horizontal="left" vertical="center" wrapText="1"/>
      <protection locked="0"/>
    </xf>
    <xf numFmtId="0" fontId="0" fillId="0" borderId="3" xfId="0" applyBorder="1" applyAlignment="1" applyProtection="1">
      <alignment horizontal="left" vertical="center" wrapText="1"/>
      <protection locked="0"/>
    </xf>
    <xf numFmtId="166" fontId="0" fillId="6" borderId="3" xfId="0" applyNumberFormat="1" applyFill="1" applyBorder="1" applyAlignment="1" applyProtection="1">
      <alignment horizontal="center" vertical="center" wrapText="1"/>
      <protection locked="0"/>
    </xf>
    <xf numFmtId="4" fontId="0" fillId="0" borderId="3" xfId="0" applyNumberFormat="1" applyBorder="1" applyAlignment="1" applyProtection="1">
      <alignment horizontal="center" vertical="center" wrapText="1"/>
      <protection locked="0"/>
    </xf>
    <xf numFmtId="0" fontId="0" fillId="8" borderId="3" xfId="0" applyFill="1" applyBorder="1" applyAlignment="1" applyProtection="1">
      <alignment horizontal="center" vertical="center"/>
      <protection locked="0"/>
    </xf>
    <xf numFmtId="165" fontId="0" fillId="0" borderId="3" xfId="0" applyNumberFormat="1" applyBorder="1" applyAlignment="1" applyProtection="1">
      <alignment horizontal="center" vertical="center" wrapText="1"/>
      <protection locked="0"/>
    </xf>
    <xf numFmtId="49" fontId="0" fillId="0" borderId="3" xfId="0" applyNumberFormat="1" applyBorder="1" applyAlignment="1" applyProtection="1">
      <alignment horizontal="left" vertical="center" wrapText="1"/>
      <protection locked="0"/>
    </xf>
    <xf numFmtId="0" fontId="0" fillId="0" borderId="3" xfId="0" applyBorder="1" applyAlignment="1" applyProtection="1">
      <alignment wrapText="1"/>
      <protection locked="0"/>
    </xf>
    <xf numFmtId="166" fontId="0" fillId="0" borderId="3" xfId="0" applyNumberFormat="1" applyBorder="1" applyAlignment="1" applyProtection="1">
      <alignment horizontal="center" vertical="center" wrapText="1"/>
      <protection locked="0"/>
    </xf>
    <xf numFmtId="0" fontId="0" fillId="0" borderId="3" xfId="0" applyBorder="1" applyAlignment="1" applyProtection="1">
      <alignment horizontal="center" vertical="center" wrapText="1"/>
      <protection locked="0"/>
    </xf>
    <xf numFmtId="0" fontId="0" fillId="8" borderId="3" xfId="0" applyFill="1" applyBorder="1" applyAlignment="1" applyProtection="1">
      <alignment horizontal="center" vertical="center" wrapText="1"/>
      <protection locked="0"/>
    </xf>
    <xf numFmtId="0" fontId="0" fillId="6" borderId="3" xfId="0" applyFill="1" applyBorder="1" applyAlignment="1" applyProtection="1">
      <alignment horizontal="center" vertical="center"/>
      <protection locked="0"/>
    </xf>
    <xf numFmtId="0" fontId="0" fillId="6" borderId="3" xfId="0" applyFill="1" applyBorder="1" applyAlignment="1" applyProtection="1">
      <alignment wrapText="1"/>
      <protection locked="0"/>
    </xf>
    <xf numFmtId="0" fontId="0" fillId="6" borderId="3" xfId="0" applyFill="1" applyBorder="1" applyAlignment="1" applyProtection="1">
      <alignment horizontal="center" vertical="center" wrapText="1"/>
      <protection locked="0"/>
    </xf>
    <xf numFmtId="0" fontId="0" fillId="0" borderId="3" xfId="0" applyBorder="1" applyProtection="1">
      <protection locked="0"/>
    </xf>
    <xf numFmtId="0" fontId="0" fillId="0" borderId="3" xfId="0" applyBorder="1" applyAlignment="1" applyProtection="1">
      <alignment vertical="center" wrapText="1"/>
      <protection locked="0"/>
    </xf>
    <xf numFmtId="0" fontId="0" fillId="6" borderId="3" xfId="0" applyFill="1" applyBorder="1" applyProtection="1">
      <protection locked="0"/>
    </xf>
    <xf numFmtId="0" fontId="0" fillId="0" borderId="3" xfId="0" applyBorder="1" applyAlignment="1" applyProtection="1">
      <alignment vertical="center"/>
      <protection locked="0"/>
    </xf>
    <xf numFmtId="166" fontId="0" fillId="0" borderId="3" xfId="0" applyNumberFormat="1" applyBorder="1" applyAlignment="1" applyProtection="1">
      <alignment horizontal="center" vertical="center"/>
      <protection locked="0"/>
    </xf>
    <xf numFmtId="0" fontId="0" fillId="5" borderId="3" xfId="0" applyFill="1" applyBorder="1" applyAlignment="1" applyProtection="1">
      <alignment horizontal="center" vertical="center"/>
      <protection locked="0"/>
    </xf>
    <xf numFmtId="165" fontId="0" fillId="0" borderId="3" xfId="0" applyNumberFormat="1" applyBorder="1" applyAlignment="1" applyProtection="1">
      <alignment horizontal="center" vertical="center"/>
      <protection locked="0"/>
    </xf>
    <xf numFmtId="0" fontId="0" fillId="0" borderId="3" xfId="0" applyBorder="1" applyAlignment="1" applyProtection="1">
      <alignment horizontal="left" vertical="top" wrapText="1"/>
      <protection locked="0"/>
    </xf>
    <xf numFmtId="0" fontId="0" fillId="6" borderId="3" xfId="0" applyFill="1" applyBorder="1" applyAlignment="1" applyProtection="1">
      <alignment horizontal="left" vertical="center" wrapText="1"/>
      <protection locked="0"/>
    </xf>
    <xf numFmtId="14" fontId="12" fillId="7" borderId="3" xfId="0" applyNumberFormat="1" applyFont="1" applyFill="1" applyBorder="1" applyAlignment="1">
      <alignment horizontal="center" vertical="center" wrapText="1"/>
    </xf>
    <xf numFmtId="0" fontId="0" fillId="5" borderId="3" xfId="0" applyFill="1" applyBorder="1" applyAlignment="1" applyProtection="1">
      <alignment horizontal="left" vertical="center" wrapText="1"/>
      <protection locked="0"/>
    </xf>
    <xf numFmtId="0" fontId="0" fillId="8" borderId="3" xfId="0" applyFill="1" applyBorder="1" applyAlignment="1" applyProtection="1">
      <alignment horizontal="left" vertical="center" wrapText="1"/>
      <protection locked="0"/>
    </xf>
    <xf numFmtId="166" fontId="0" fillId="6" borderId="3" xfId="0" applyNumberFormat="1" applyFill="1" applyBorder="1" applyAlignment="1">
      <alignment horizontal="center" vertical="center"/>
    </xf>
    <xf numFmtId="0" fontId="0" fillId="6" borderId="3" xfId="0" applyFill="1" applyBorder="1" applyAlignment="1">
      <alignment horizontal="center" vertical="center"/>
    </xf>
    <xf numFmtId="165" fontId="0" fillId="6" borderId="3" xfId="0" applyNumberFormat="1" applyFill="1" applyBorder="1" applyAlignment="1">
      <alignment horizontal="center" vertical="center"/>
    </xf>
    <xf numFmtId="0" fontId="0" fillId="5" borderId="3" xfId="0" applyFill="1" applyBorder="1" applyAlignment="1">
      <alignment horizontal="center" vertical="center" wrapText="1"/>
    </xf>
    <xf numFmtId="0" fontId="0" fillId="6" borderId="3" xfId="0" applyFill="1" applyBorder="1" applyAlignment="1">
      <alignment wrapText="1"/>
    </xf>
    <xf numFmtId="0" fontId="0" fillId="0" borderId="3" xfId="0" applyBorder="1" applyAlignment="1">
      <alignment vertical="top" wrapText="1"/>
    </xf>
    <xf numFmtId="0" fontId="17" fillId="6" borderId="3" xfId="0" applyFont="1" applyFill="1" applyBorder="1" applyAlignment="1">
      <alignment horizontal="center" vertical="center" wrapText="1"/>
    </xf>
    <xf numFmtId="0" fontId="17" fillId="6" borderId="3" xfId="0" applyFont="1" applyFill="1" applyBorder="1" applyAlignment="1">
      <alignment horizontal="center" vertical="center"/>
    </xf>
    <xf numFmtId="165" fontId="17" fillId="6" borderId="3" xfId="0" applyNumberFormat="1" applyFont="1" applyFill="1" applyBorder="1" applyAlignment="1">
      <alignment horizontal="center" vertical="center" wrapText="1"/>
    </xf>
    <xf numFmtId="49" fontId="17" fillId="6" borderId="3" xfId="0" applyNumberFormat="1" applyFont="1" applyFill="1" applyBorder="1" applyAlignment="1">
      <alignment horizontal="center" vertical="center" wrapText="1"/>
    </xf>
    <xf numFmtId="49" fontId="17" fillId="6" borderId="3" xfId="0" applyNumberFormat="1" applyFont="1" applyFill="1" applyBorder="1" applyAlignment="1" applyProtection="1">
      <alignment horizontal="center" vertical="center" wrapText="1"/>
      <protection locked="0"/>
    </xf>
    <xf numFmtId="0" fontId="17" fillId="6" borderId="3" xfId="0" applyFont="1" applyFill="1" applyBorder="1" applyAlignment="1">
      <alignment wrapText="1"/>
    </xf>
    <xf numFmtId="0" fontId="17" fillId="6" borderId="3" xfId="0" applyFont="1" applyFill="1" applyBorder="1"/>
    <xf numFmtId="166" fontId="17" fillId="6" borderId="3" xfId="0" applyNumberFormat="1" applyFont="1" applyFill="1" applyBorder="1" applyAlignment="1">
      <alignment horizontal="center" vertical="center"/>
    </xf>
    <xf numFmtId="0" fontId="17" fillId="8" borderId="3" xfId="0" applyFont="1" applyFill="1" applyBorder="1" applyAlignment="1">
      <alignment horizontal="center" vertical="center"/>
    </xf>
    <xf numFmtId="165" fontId="17" fillId="6" borderId="3" xfId="0" applyNumberFormat="1" applyFont="1" applyFill="1" applyBorder="1" applyAlignment="1">
      <alignment horizontal="center" vertical="center"/>
    </xf>
    <xf numFmtId="0" fontId="0" fillId="0" borderId="3" xfId="0" applyBorder="1" applyAlignment="1">
      <alignment horizontal="left" vertical="top" wrapText="1"/>
    </xf>
    <xf numFmtId="0" fontId="0" fillId="5" borderId="3" xfId="0" applyFill="1" applyBorder="1" applyAlignment="1">
      <alignment horizontal="left" vertical="center" wrapText="1"/>
    </xf>
    <xf numFmtId="0" fontId="0" fillId="8" borderId="3" xfId="0" applyFill="1" applyBorder="1" applyAlignment="1">
      <alignment horizontal="left" vertical="center" wrapText="1"/>
    </xf>
    <xf numFmtId="166" fontId="0" fillId="6" borderId="3" xfId="0" applyNumberFormat="1" applyFill="1" applyBorder="1" applyAlignment="1">
      <alignment horizontal="center" vertical="center" wrapText="1"/>
    </xf>
    <xf numFmtId="0" fontId="9" fillId="0" borderId="3" xfId="0" applyFont="1" applyBorder="1" applyAlignment="1">
      <alignment horizontal="center" vertical="center" wrapText="1"/>
    </xf>
    <xf numFmtId="167" fontId="0" fillId="0" borderId="3" xfId="0" applyNumberFormat="1" applyBorder="1" applyAlignment="1">
      <alignment horizontal="center" vertical="center"/>
    </xf>
    <xf numFmtId="165" fontId="0" fillId="0" borderId="3" xfId="0" applyNumberFormat="1" applyBorder="1" applyAlignment="1">
      <alignment horizontal="center" vertical="center" wrapText="1"/>
    </xf>
    <xf numFmtId="14" fontId="0" fillId="0" borderId="3" xfId="0" applyNumberFormat="1" applyBorder="1" applyAlignment="1">
      <alignment horizontal="center" vertical="center" wrapText="1"/>
    </xf>
    <xf numFmtId="0" fontId="10" fillId="0" borderId="3" xfId="0" applyFont="1" applyBorder="1" applyAlignment="1">
      <alignment wrapText="1"/>
    </xf>
    <xf numFmtId="0" fontId="0" fillId="0" borderId="3" xfId="0" applyBorder="1" applyAlignment="1">
      <alignment horizontal="left" wrapText="1"/>
    </xf>
    <xf numFmtId="0" fontId="12" fillId="0" borderId="3" xfId="0" applyFont="1" applyBorder="1" applyAlignment="1">
      <alignment horizontal="center" vertical="center" wrapText="1"/>
    </xf>
    <xf numFmtId="0" fontId="10" fillId="0" borderId="3" xfId="0" applyFont="1" applyBorder="1" applyAlignment="1">
      <alignment horizontal="center" vertical="center" wrapText="1"/>
    </xf>
    <xf numFmtId="166" fontId="10" fillId="0" borderId="3" xfId="0" applyNumberFormat="1" applyFont="1" applyBorder="1" applyAlignment="1">
      <alignment horizontal="center" vertical="center"/>
    </xf>
    <xf numFmtId="0" fontId="19" fillId="5" borderId="3" xfId="0" applyFont="1" applyFill="1" applyBorder="1" applyAlignment="1">
      <alignment horizontal="center" vertical="center" wrapText="1"/>
    </xf>
    <xf numFmtId="0" fontId="19" fillId="8" borderId="3" xfId="0" applyFont="1" applyFill="1" applyBorder="1" applyAlignment="1">
      <alignment horizontal="center" vertical="center" wrapText="1"/>
    </xf>
    <xf numFmtId="165" fontId="10" fillId="0" borderId="3" xfId="0" applyNumberFormat="1" applyFont="1" applyBorder="1" applyAlignment="1">
      <alignment horizontal="center" vertical="center"/>
    </xf>
    <xf numFmtId="0" fontId="17" fillId="6" borderId="3" xfId="0" applyFont="1" applyFill="1" applyBorder="1" applyAlignment="1" applyProtection="1">
      <alignment horizontal="center" vertical="center" wrapText="1"/>
      <protection locked="0"/>
    </xf>
    <xf numFmtId="0" fontId="17" fillId="0" borderId="3" xfId="0" applyFont="1" applyBorder="1"/>
    <xf numFmtId="0" fontId="17" fillId="5" borderId="3" xfId="0" applyFont="1" applyFill="1" applyBorder="1" applyAlignment="1">
      <alignment horizontal="center" vertical="center"/>
    </xf>
    <xf numFmtId="49" fontId="0" fillId="0" borderId="3" xfId="0" applyNumberFormat="1" applyBorder="1" applyAlignment="1">
      <alignment horizontal="center" vertical="center"/>
    </xf>
    <xf numFmtId="167" fontId="0" fillId="0" borderId="3" xfId="1" applyNumberFormat="1" applyFont="1" applyBorder="1" applyAlignment="1">
      <alignment horizontal="center" vertical="center"/>
    </xf>
    <xf numFmtId="0" fontId="0" fillId="5" borderId="3" xfId="0" applyFill="1" applyBorder="1" applyAlignment="1" applyProtection="1">
      <alignment horizontal="center" vertical="center" wrapText="1"/>
      <protection locked="0"/>
    </xf>
    <xf numFmtId="0" fontId="16" fillId="0" borderId="3" xfId="0" applyFont="1" applyBorder="1" applyAlignment="1">
      <alignment horizontal="center" vertical="center"/>
    </xf>
    <xf numFmtId="168" fontId="0" fillId="0" borderId="3" xfId="0" applyNumberFormat="1" applyBorder="1" applyAlignment="1">
      <alignment horizontal="center" vertical="center"/>
    </xf>
    <xf numFmtId="166" fontId="17" fillId="0" borderId="3" xfId="0" applyNumberFormat="1" applyFont="1" applyBorder="1" applyAlignment="1">
      <alignment horizontal="center" vertical="center"/>
    </xf>
    <xf numFmtId="0" fontId="0" fillId="0" borderId="3" xfId="0" applyBorder="1" applyAlignment="1">
      <alignment vertical="center"/>
    </xf>
    <xf numFmtId="0" fontId="0" fillId="0" borderId="3" xfId="0" applyBorder="1" applyAlignment="1">
      <alignment horizontal="center" wrapText="1"/>
    </xf>
    <xf numFmtId="0" fontId="9" fillId="0" borderId="3" xfId="0" applyFont="1" applyBorder="1"/>
    <xf numFmtId="0" fontId="10" fillId="0" borderId="3" xfId="0" applyFont="1" applyBorder="1" applyAlignment="1">
      <alignment horizontal="center" vertical="center"/>
    </xf>
    <xf numFmtId="0" fontId="0" fillId="0" borderId="3" xfId="0" quotePrefix="1" applyBorder="1" applyAlignment="1">
      <alignment horizontal="center" vertical="center" wrapText="1"/>
    </xf>
    <xf numFmtId="0" fontId="20" fillId="0" borderId="3" xfId="0" applyFont="1" applyBorder="1" applyAlignment="1">
      <alignment horizontal="center" vertical="center" wrapText="1"/>
    </xf>
    <xf numFmtId="0" fontId="0" fillId="0" borderId="3" xfId="0" applyBorder="1" applyAlignment="1">
      <alignment horizontal="center" vertical="top" wrapText="1"/>
    </xf>
    <xf numFmtId="166" fontId="0" fillId="0" borderId="3" xfId="0" applyNumberFormat="1" applyBorder="1" applyAlignment="1">
      <alignment horizontal="right" vertical="center" wrapText="1"/>
    </xf>
    <xf numFmtId="0" fontId="0" fillId="5" borderId="3" xfId="0" applyFill="1" applyBorder="1" applyAlignment="1">
      <alignment horizontal="left" vertical="top" wrapText="1"/>
    </xf>
    <xf numFmtId="0" fontId="27" fillId="0" borderId="3" xfId="0" applyFont="1" applyBorder="1" applyAlignment="1">
      <alignment wrapText="1"/>
    </xf>
    <xf numFmtId="0" fontId="9" fillId="0" borderId="3" xfId="0" applyFont="1" applyBorder="1" applyAlignment="1">
      <alignment wrapText="1"/>
    </xf>
    <xf numFmtId="49" fontId="17" fillId="0" borderId="3" xfId="0" applyNumberFormat="1" applyFont="1" applyBorder="1" applyAlignment="1">
      <alignment horizontal="center" vertical="center" wrapText="1"/>
    </xf>
    <xf numFmtId="165" fontId="0" fillId="0" borderId="4" xfId="0" applyNumberFormat="1" applyBorder="1" applyAlignment="1">
      <alignment horizontal="center" vertical="center" wrapText="1"/>
    </xf>
    <xf numFmtId="49" fontId="0" fillId="6" borderId="4" xfId="0" applyNumberFormat="1" applyFill="1" applyBorder="1" applyAlignment="1">
      <alignment horizontal="center" vertical="center" wrapText="1"/>
    </xf>
    <xf numFmtId="49" fontId="0" fillId="0" borderId="4" xfId="0" applyNumberFormat="1" applyBorder="1" applyAlignment="1">
      <alignment horizontal="center" vertical="center" wrapText="1"/>
    </xf>
    <xf numFmtId="0" fontId="0" fillId="0" borderId="4" xfId="0" applyBorder="1" applyAlignment="1">
      <alignment wrapText="1"/>
    </xf>
    <xf numFmtId="0" fontId="0" fillId="5" borderId="4" xfId="0" applyFill="1" applyBorder="1" applyAlignment="1">
      <alignment horizontal="center" vertical="center"/>
    </xf>
    <xf numFmtId="0" fontId="0" fillId="0" borderId="5" xfId="0" applyBorder="1" applyAlignment="1">
      <alignment horizontal="center" vertical="center" wrapText="1"/>
    </xf>
    <xf numFmtId="0" fontId="0" fillId="0" borderId="5" xfId="0" applyBorder="1" applyAlignment="1">
      <alignment horizontal="center" vertical="center"/>
    </xf>
    <xf numFmtId="165" fontId="0" fillId="6" borderId="5" xfId="0" applyNumberFormat="1" applyFill="1" applyBorder="1" applyAlignment="1">
      <alignment horizontal="center" vertical="center" wrapText="1"/>
    </xf>
    <xf numFmtId="49" fontId="0" fillId="6" borderId="5" xfId="0" applyNumberFormat="1" applyFill="1" applyBorder="1" applyAlignment="1">
      <alignment horizontal="center" vertical="center" wrapText="1"/>
    </xf>
    <xf numFmtId="49" fontId="0" fillId="0" borderId="5" xfId="0" applyNumberFormat="1" applyBorder="1" applyAlignment="1">
      <alignment horizontal="center" vertical="center" wrapText="1"/>
    </xf>
    <xf numFmtId="0" fontId="0" fillId="0" borderId="5" xfId="0" applyBorder="1" applyAlignment="1">
      <alignment wrapText="1"/>
    </xf>
    <xf numFmtId="165" fontId="0" fillId="0" borderId="5" xfId="0" applyNumberFormat="1" applyBorder="1" applyAlignment="1">
      <alignment horizontal="center" vertical="center"/>
    </xf>
    <xf numFmtId="165" fontId="17" fillId="0" borderId="3" xfId="0" applyNumberFormat="1" applyFont="1" applyBorder="1" applyAlignment="1">
      <alignment horizontal="center" vertical="center" wrapText="1"/>
    </xf>
    <xf numFmtId="0" fontId="28" fillId="0" borderId="3" xfId="0" applyFont="1" applyBorder="1" applyAlignment="1">
      <alignment wrapText="1"/>
    </xf>
    <xf numFmtId="0" fontId="1" fillId="0" borderId="3" xfId="0" applyFont="1" applyBorder="1" applyAlignment="1">
      <alignment wrapText="1"/>
    </xf>
    <xf numFmtId="0" fontId="30" fillId="2" borderId="1" xfId="0" applyFont="1" applyFill="1" applyBorder="1" applyAlignment="1">
      <alignment horizontal="center" vertical="center" wrapText="1"/>
    </xf>
    <xf numFmtId="0" fontId="31" fillId="0" borderId="1" xfId="0" applyFont="1" applyBorder="1" applyAlignment="1">
      <alignment vertical="center" wrapText="1"/>
    </xf>
    <xf numFmtId="0" fontId="5" fillId="0" borderId="0" xfId="0" applyFont="1" applyAlignment="1">
      <alignment vertical="center" wrapText="1"/>
    </xf>
    <xf numFmtId="0" fontId="19" fillId="0" borderId="0" xfId="0" applyFont="1" applyAlignment="1">
      <alignment wrapText="1"/>
    </xf>
    <xf numFmtId="0" fontId="1" fillId="0" borderId="3" xfId="0" applyFont="1" applyBorder="1" applyAlignment="1">
      <alignment horizontal="center" vertical="center" wrapText="1"/>
    </xf>
    <xf numFmtId="49" fontId="1" fillId="6" borderId="3" xfId="0" applyNumberFormat="1" applyFont="1" applyFill="1" applyBorder="1" applyAlignment="1" applyProtection="1">
      <alignment horizontal="left" vertical="center" wrapText="1"/>
      <protection locked="0"/>
    </xf>
    <xf numFmtId="0" fontId="9" fillId="8" borderId="3" xfId="0" applyFont="1" applyFill="1" applyBorder="1" applyAlignment="1">
      <alignment horizontal="center" vertical="center" wrapText="1"/>
    </xf>
    <xf numFmtId="0" fontId="12" fillId="0" borderId="3" xfId="0" applyFont="1" applyBorder="1"/>
    <xf numFmtId="0" fontId="0" fillId="9" borderId="3" xfId="0" applyFill="1" applyBorder="1" applyAlignment="1">
      <alignment horizontal="center" vertical="center" wrapText="1"/>
    </xf>
    <xf numFmtId="0" fontId="0" fillId="9" borderId="3" xfId="0" applyFill="1" applyBorder="1" applyAlignment="1">
      <alignment horizontal="center" vertical="center"/>
    </xf>
    <xf numFmtId="49" fontId="0" fillId="9" borderId="3" xfId="0" applyNumberFormat="1" applyFill="1" applyBorder="1" applyAlignment="1">
      <alignment horizontal="center" vertical="center" wrapText="1"/>
    </xf>
    <xf numFmtId="165" fontId="0" fillId="9" borderId="3" xfId="0" applyNumberFormat="1" applyFill="1" applyBorder="1" applyAlignment="1">
      <alignment horizontal="center" vertical="center" wrapText="1"/>
    </xf>
    <xf numFmtId="0" fontId="0" fillId="9" borderId="3" xfId="0" applyFill="1" applyBorder="1" applyAlignment="1">
      <alignment wrapText="1"/>
    </xf>
    <xf numFmtId="166" fontId="0" fillId="9" borderId="3" xfId="0" applyNumberFormat="1" applyFill="1" applyBorder="1" applyAlignment="1">
      <alignment horizontal="center" vertical="center"/>
    </xf>
    <xf numFmtId="165" fontId="0" fillId="9" borderId="3" xfId="0" applyNumberFormat="1" applyFill="1" applyBorder="1" applyAlignment="1">
      <alignment horizontal="center" vertical="center"/>
    </xf>
    <xf numFmtId="0" fontId="0" fillId="9" borderId="0" xfId="0" applyFill="1"/>
    <xf numFmtId="0" fontId="0" fillId="0" borderId="3" xfId="0" applyBorder="1" applyAlignment="1">
      <alignment horizontal="left" vertical="center"/>
    </xf>
    <xf numFmtId="0" fontId="0" fillId="0" borderId="6" xfId="0" applyBorder="1" applyAlignment="1">
      <alignment horizontal="center" vertical="center"/>
    </xf>
    <xf numFmtId="0" fontId="0" fillId="0" borderId="4" xfId="0" applyBorder="1" applyAlignment="1">
      <alignment horizontal="left" vertical="center" wrapText="1"/>
    </xf>
    <xf numFmtId="0" fontId="0" fillId="0" borderId="1" xfId="0" applyBorder="1" applyAlignment="1">
      <alignment horizontal="center" vertical="center" wrapText="1"/>
    </xf>
    <xf numFmtId="0" fontId="13" fillId="0" borderId="3" xfId="0" applyFont="1" applyBorder="1" applyAlignment="1">
      <alignment wrapText="1"/>
    </xf>
    <xf numFmtId="14" fontId="0" fillId="0" borderId="3" xfId="0" applyNumberFormat="1" applyBorder="1" applyAlignment="1">
      <alignment vertical="center"/>
    </xf>
    <xf numFmtId="0" fontId="0" fillId="8" borderId="3" xfId="0" applyFill="1" applyBorder="1" applyAlignment="1">
      <alignment vertical="center"/>
    </xf>
    <xf numFmtId="49" fontId="6" fillId="6" borderId="2" xfId="0" applyNumberFormat="1" applyFont="1" applyFill="1" applyBorder="1" applyAlignment="1">
      <alignment horizontal="center" vertical="center" wrapText="1"/>
    </xf>
    <xf numFmtId="49" fontId="4" fillId="6" borderId="2" xfId="0" applyNumberFormat="1" applyFont="1" applyFill="1" applyBorder="1" applyAlignment="1">
      <alignment horizontal="center" vertical="center" wrapText="1"/>
    </xf>
    <xf numFmtId="0" fontId="2" fillId="0" borderId="0" xfId="0" applyFont="1" applyAlignment="1">
      <alignment horizontal="center" wrapText="1"/>
    </xf>
  </cellXfs>
  <cellStyles count="2">
    <cellStyle name="Currency" xfId="1" builtinId="4"/>
    <cellStyle name="Normal" xfId="0" builtinId="0"/>
  </cellStyles>
  <dxfs count="0"/>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17</xdr:col>
      <xdr:colOff>832247</xdr:colOff>
      <xdr:row>2</xdr:row>
      <xdr:rowOff>62936</xdr:rowOff>
    </xdr:from>
    <xdr:to>
      <xdr:col>18</xdr:col>
      <xdr:colOff>1275714</xdr:colOff>
      <xdr:row>3</xdr:row>
      <xdr:rowOff>172497</xdr:rowOff>
    </xdr:to>
    <xdr:pic>
      <xdr:nvPicPr>
        <xdr:cNvPr id="4" name="Grafik 1" descr="Ein Bild, das ClipArt enthält.&#10;&#10;Mit sehr hoher Zuverlässigkeit generierte Beschreibung">
          <a:extLst>
            <a:ext uri="{FF2B5EF4-FFF2-40B4-BE49-F238E27FC236}">
              <a16:creationId xmlns:a16="http://schemas.microsoft.com/office/drawing/2014/main" id="{34A4B7E1-3567-4E1A-BAC6-DEECD4B4D0B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302472" y="443936"/>
          <a:ext cx="1320403" cy="61334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Dorothy Amony" id="{4DC41E5B-962C-437F-8B6D-B8AAB8EBA78B}" userId="S::dorothy.amony@amex-healthcare.com::2a42bcda-832a-4c86-8a42-7182fd382fbf" providerId="AD"/>
  <person displayName="Ivana Zivkovic" id="{177C98C1-0944-49DD-A657-78C17A92A809}" userId="S::ivana.zivkovic@amex-healthcare.com::19e2d9a3-c84b-4818-a8ae-da5cf72b18ef"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783.429600462965" createdVersion="8" refreshedVersion="8" minRefreshableVersion="3" recordCount="305" xr:uid="{E0C48155-043B-493B-AA72-C118787CAF49}">
  <cacheSource type="worksheet">
    <worksheetSource ref="A6:U1048576" sheet="Main Sheet"/>
  </cacheSource>
  <cacheFields count="19">
    <cacheField name="DCR tracking number" numFmtId="0">
      <sharedItems containsBlank="1"/>
    </cacheField>
    <cacheField name="Type_x000a_D/C/R/S" numFmtId="0">
      <sharedItems containsBlank="1" count="6">
        <s v="Deviation"/>
        <s v="Complaint"/>
        <s v="Safety notice"/>
        <m/>
        <s v="Recall"/>
        <s v="Deviation "/>
      </sharedItems>
    </cacheField>
    <cacheField name="DCR occurred on (date)" numFmtId="0">
      <sharedItems containsNonDate="0" containsDate="1" containsBlank="1" containsMixedTypes="1" minDate="2022-06-01T00:00:00" maxDate="2025-05-03T00:00:00" count="136">
        <d v="2024-01-09T00:00:00"/>
        <d v="2023-12-05T00:00:00"/>
        <d v="2024-10-01T00:00:00"/>
        <d v="2024-01-19T00:00:00"/>
        <d v="2024-01-15T00:00:00"/>
        <d v="2024-02-06T00:00:00"/>
        <d v="2024-02-08T00:00:00"/>
        <d v="2024-02-09T00:00:00"/>
        <d v="2024-01-31T00:00:00"/>
        <d v="2024-02-15T00:00:00"/>
        <d v="2024-02-19T00:00:00"/>
        <d v="2024-02-20T00:00:00"/>
        <d v="2023-11-23T00:00:00"/>
        <d v="2024-03-04T00:00:00"/>
        <d v="2024-03-15T00:00:00"/>
        <d v="2024-03-18T00:00:00"/>
        <d v="2024-03-13T00:00:00"/>
        <d v="2024-03-28T00:00:00"/>
        <d v="2024-04-02T00:00:00"/>
        <d v="2024-04-16T00:00:00"/>
        <d v="2024-03-27T00:00:00"/>
        <d v="2024-04-26T00:00:00"/>
        <d v="2024-04-24T00:00:00"/>
        <d v="2024-01-03T00:00:00"/>
        <d v="2024-03-05T00:00:00"/>
        <d v="2024-07-05T00:00:00"/>
        <d v="2024-04-19T00:00:00"/>
        <d v="2024-05-10T00:00:00"/>
        <d v="2024-05-11T00:00:00"/>
        <d v="2024-05-16T00:00:00"/>
        <d v="2024-05-14T00:00:00"/>
        <d v="2024-05-02T00:00:00"/>
        <d v="2024-06-15T00:00:00"/>
        <d v="2024-05-06T00:00:00"/>
        <d v="2024-02-14T00:00:00"/>
        <d v="2024-05-22T00:00:00"/>
        <d v="2024-05-27T00:00:00"/>
        <d v="2024-01-01T00:00:00"/>
        <d v="2024-02-01T00:00:00"/>
        <d v="2024-04-30T00:00:00"/>
        <m/>
        <d v="2022-06-01T00:00:00"/>
        <d v="2024-06-18T00:00:00"/>
        <d v="2024-05-17T00:00:00"/>
        <d v="2024-06-28T00:00:00"/>
        <d v="2024-06-26T00:00:00"/>
        <d v="2024-07-10T00:00:00"/>
        <d v="2024-07-01T00:00:00"/>
        <d v="2024-07-30T00:00:00"/>
        <d v="2024-07-19T00:00:00"/>
        <d v="2024-07-22T00:00:00"/>
        <d v="2024-07-18T00:00:00"/>
        <d v="2024-07-11T00:00:00"/>
        <d v="2024-08-01T00:00:00"/>
        <d v="2024-07-04T00:00:00"/>
        <d v="2024-08-09T00:00:00"/>
        <d v="2024-08-13T00:00:00"/>
        <d v="2024-08-02T00:00:00"/>
        <d v="2024-08-14T00:00:00"/>
        <d v="2024-08-16T00:00:00"/>
        <d v="2024-08-05T00:00:00"/>
        <d v="2024-08-15T00:00:00"/>
        <d v="2024-08-07T00:00:00"/>
        <d v="2024-08-21T00:00:00"/>
        <d v="2024-09-09T00:00:00"/>
        <d v="2024-10-03T00:00:00"/>
        <d v="2024-09-30T00:00:00"/>
        <d v="2024-10-20T00:00:00"/>
        <d v="2024-10-21T00:00:00"/>
        <d v="2024-10-15T00:00:00"/>
        <d v="2024-11-07T00:00:00"/>
        <d v="2024-11-04T00:00:00"/>
        <d v="2024-10-29T00:00:00"/>
        <d v="2024-11-05T00:00:00"/>
        <d v="2024-11-15T00:00:00"/>
        <d v="2024-11-14T00:00:00"/>
        <d v="2024-07-16T00:00:00"/>
        <d v="2024-08-12T00:00:00"/>
        <d v="2024-12-16T00:00:00"/>
        <d v="2024-11-20T00:00:00"/>
        <d v="2024-01-06T00:00:00"/>
        <d v="2023-04-09T00:00:00"/>
        <d v="2023-11-24T00:00:00"/>
        <d v="2024-06-20T00:00:00"/>
        <d v="2024-09-25T00:00:00"/>
        <d v="2024-05-08T00:00:00"/>
        <d v="2024-12-11T00:00:00"/>
        <d v="2024-12-17T00:00:00"/>
        <d v="2024-12-27T00:00:00"/>
        <d v="2025-01-02T00:00:00"/>
        <d v="2024-12-20T00:00:00"/>
        <d v="2024-01-08T00:00:00"/>
        <d v="2025-01-03T00:00:00"/>
        <d v="2024-12-03T00:00:00"/>
        <d v="2025-01-14T00:00:00"/>
        <d v="2025-01-13T00:00:00"/>
        <d v="2025-01-23T00:00:00"/>
        <d v="2024-09-01T00:00:00"/>
        <d v="2024-07-17T00:00:00"/>
        <d v="2024-11-13T00:00:00"/>
        <d v="2025-05-02T00:00:00"/>
        <d v="2025-02-12T00:00:00"/>
        <d v="2025-02-17T00:00:00"/>
        <d v="2025-02-18T00:00:00"/>
        <d v="2025-02-13T00:00:00"/>
        <d v="2025-02-25T00:00:00"/>
        <d v="2025-01-17T00:00:00"/>
        <d v="2024-12-28T00:00:00"/>
        <d v="2025-03-27T00:00:00"/>
        <d v="2025-03-06T00:00:00"/>
        <d v="2025-01-24T00:00:00"/>
        <d v="2025-02-28T00:00:00"/>
        <d v="2025-04-03T00:00:00"/>
        <d v="2025-03-31T00:00:00"/>
        <d v="2025-03-18T00:00:00"/>
        <d v="2025-04-08T00:00:00"/>
        <d v="2025-04-10T00:00:00"/>
        <d v="2025-04-15T00:00:00"/>
        <d v="2025-04-23T00:00:00"/>
        <d v="2025-04-22T00:00:00"/>
        <d v="2025-04-25T00:00:00"/>
        <s v="26/04/2024" u="1"/>
        <s v="19/04/2024" u="1"/>
        <s v="16/05/2024" u="1"/>
        <s v="14/05/2024" u="1"/>
        <s v="02.05.2024" u="1"/>
        <s v="24.04.2024" u="1"/>
        <s v="06.05.2024" u="1"/>
        <s v="22.05.2024" u="1"/>
        <s v="27.05.2024" u="1"/>
        <s v="18/06/2024" u="1"/>
        <s v="30/07/2024" u="1"/>
        <s v="16/08/2024" u="1"/>
        <d v="2023-05-12T00:00:00" u="1"/>
        <d v="2024-05-13T00:00:00" u="1"/>
        <d v="2024-11-23T00:00:00" u="1"/>
      </sharedItems>
    </cacheField>
    <cacheField name="Entered by" numFmtId="0">
      <sharedItems containsBlank="1"/>
    </cacheField>
    <cacheField name="AMEX Office" numFmtId="0">
      <sharedItems containsBlank="1"/>
    </cacheField>
    <cacheField name="Pharma (Y/N)" numFmtId="0">
      <sharedItems containsBlank="1" count="3">
        <s v="N"/>
        <s v="Y"/>
        <m/>
      </sharedItems>
    </cacheField>
    <cacheField name="Supplier" numFmtId="0">
      <sharedItems containsBlank="1"/>
    </cacheField>
    <cacheField name="Customer" numFmtId="0">
      <sharedItems containsBlank="1"/>
    </cacheField>
    <cacheField name="Project " numFmtId="0">
      <sharedItems containsBlank="1" containsMixedTypes="1" containsNumber="1" containsInteger="1" minValue="2023171" maxValue="202301636"/>
    </cacheField>
    <cacheField name="Responsible party (supplier, freight forwarder, AMEX, warehouse)" numFmtId="0">
      <sharedItems containsBlank="1" count="6">
        <s v="Supplier"/>
        <s v="AMEX"/>
        <s v="Warehouse"/>
        <s v="Freight forwarder"/>
        <s v="Customer "/>
        <m/>
      </sharedItems>
    </cacheField>
    <cacheField name="Category" numFmtId="0">
      <sharedItems containsBlank="1" count="12">
        <s v="Wrong quotation"/>
        <s v="Missing item"/>
        <s v="Product quality issue"/>
        <s v="Delayed shipment "/>
        <s v="Other"/>
        <s v="Temperature excursion"/>
        <s v="Wrong item"/>
        <s v="Damaged item"/>
        <m/>
        <s v="missing items "/>
        <s v="Rent appartament"/>
        <s v="Missing item, Wrong item" u="1"/>
      </sharedItems>
    </cacheField>
    <cacheField name="Description of the issue_x000a_(what happened)" numFmtId="0">
      <sharedItems containsBlank="1" longText="1"/>
    </cacheField>
    <cacheField name="Root cause of the issue_x000a_(how/why the issue happened)" numFmtId="0">
      <sharedItems containsBlank="1" longText="1"/>
    </cacheField>
    <cacheField name="Financial impact on Amex" numFmtId="0">
      <sharedItems containsBlank="1" containsMixedTypes="1" containsNumber="1" minValue="0" maxValue="17053"/>
    </cacheField>
    <cacheField name="Actions taken_x000a_to address complaint/deviation (when CAPA is not needed)" numFmtId="0">
      <sharedItems containsBlank="1" longText="1"/>
    </cacheField>
    <cacheField name="CAPA report needed (Y/N)" numFmtId="0">
      <sharedItems containsBlank="1"/>
    </cacheField>
    <cacheField name="CAPA plan" numFmtId="0">
      <sharedItems containsBlank="1" longText="1"/>
    </cacheField>
    <cacheField name="Actions" numFmtId="0">
      <sharedItems containsBlank="1" longText="1"/>
    </cacheField>
    <cacheField name="Closure date" numFmtId="0">
      <sharedItems containsDate="1" containsBlank="1" containsMixedTypes="1" minDate="2023-09-05T00:00:00" maxDate="2025-04-23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5">
  <r>
    <s v="24-239"/>
    <x v="0"/>
    <x v="0"/>
    <s v="amalajev"/>
    <s v="Vienna"/>
    <x v="0"/>
    <s v="LabConsulting AT "/>
    <s v="UNDP"/>
    <s v="20231687"/>
    <x v="0"/>
    <x v="0"/>
    <s v="Supplier LabConsulting AT while offering stage never mentioned that we would need accessories in order to use the OMNI machine. Didnt give us accessories for free but just 40% discount."/>
    <s v="The supplier did not mention anything about the accessories until we purchased. After purchasing, the supplier asked AMEX OP how the end-user will use OMNI machine without accessories. The root cause is combination of supplier not being proactive enought and AMEX team not conducting thourough enough research of the item."/>
    <n v="1785"/>
    <s v="Told the supplier to be more precise with the future quotations/informed the responsible Sales Colleagues. We purchased the accessories and shipped them along with the main item. "/>
    <s v="N"/>
    <s v="N/A"/>
    <s v="N/A"/>
    <d v="2024-01-02T00:00:00"/>
  </r>
  <r>
    <s v="24-240"/>
    <x v="1"/>
    <x v="1"/>
    <s v="lristic, aashammari"/>
    <s v="Vienna"/>
    <x v="1"/>
    <s v="Tanner"/>
    <s v="MAM"/>
    <s v="20231789-1"/>
    <x v="1"/>
    <x v="1"/>
    <s v="Customer complaint: Missing 19 vials of Ambisome._x000a__x000a_“We received shipment from Vienna which included attached missing items, despite the boxes of missing items are intact, there is only 15 vials of AmBisome Injection in the box instead of 34 vials.&quot;"/>
    <s v="All parties involved in the shipping and handling of the product Ambisome — from both warehouses to the freight_x000a_forwarder—have consistent and corroborating accounts regarding the weight, packaging, and condition of the shipment._x000a_The customer's receipt of the shipment also aligns with these details. Given this information, the root cause of the customer's complaint seems unclear as all records and physical evidence_x000a_suggest a consistent and intact shipment process."/>
    <n v="10000"/>
    <s v="CAPA needed"/>
    <s v="Y"/>
    <s v="1. Confirm with the warehouse Vienna-11 if missing item was packed and sent to the client. Confirm with the warehouse Hagenbrunn if missing item was transported from Vienna-11._x000a_2. Confirm with the freight-forwarder if all goods were delivered as per records. _x000a_3. Check if any clearence process was conducted for the shipment. _x000a_4. Check annual inventory count reports from both warehouses._x000a_5. Check if there were any discrepances from the customer's side."/>
    <s v="1. Corrective measure: Remaining quantities of Ambisome to be sent with upcoming shipment._x000a_2. Preventive measure: Adding a GPS tracker to the upcoming Ambisome shipment._x000a_3. The goods will be audited by an independent auditor before shipment to ensure that all the quantities are correct. "/>
    <s v="Upcoming shipment in process."/>
  </r>
  <r>
    <s v="24-241"/>
    <x v="2"/>
    <x v="2"/>
    <s v="lristic"/>
    <s v="Vienna"/>
    <x v="0"/>
    <s v="BD"/>
    <s v="N/A"/>
    <s v="109111"/>
    <x v="0"/>
    <x v="2"/>
    <s v="Safety notice: specific lots of BD BBL™ Sensi-Disc™. Product was distributed by BD between March 2019 and November 2023. BD confirmed through a recent evaluation of BD BBL™ Sensi-Disc™ product that twenty-eight (28) out of_x000a_thirty (30) antimicrobial discs showed reproducibility, accuracy, and/or Quality Control (QC) failures when tested with Haemophilus spp. "/>
    <s v="The letter states, &quot;Product was distributed by BD between March 2019 and November 2023.&quot; We had placed an order on August 22, 2008 (Order Number: 300802621). Supplier confirmed only products in the mentioned timeframe are affected by this safety notice. No further action needed."/>
    <n v="0"/>
    <s v="No further action needed."/>
    <s v="N"/>
    <s v="N/A"/>
    <s v="N/A"/>
    <s v="17/01/2024"/>
  </r>
  <r>
    <s v="24-242"/>
    <x v="2"/>
    <x v="3"/>
    <s v="lristic"/>
    <s v="Vienna"/>
    <x v="0"/>
    <s v="Getinge"/>
    <s v="UNDP"/>
    <s v="20220089"/>
    <x v="0"/>
    <x v="2"/>
    <s v="Safety notice:_x000a_Problem 1:_x000a_The background of this Field Safety Corrective Action (FSCA) pertains to a nonconformance recognized in the_x000a_production of the CARDIOHELP system. A production tool (viz. a cable) used to assess leakage current at the_x000a_sensor panel connection/hub (Figure 1 and Figure 2) only had connection with 1 out of 16 contacts within that_x000a_particular connection/hub. The root cause of the improper contact originates in an incorrect drawing of the_x000a_production tool in question, resulting in an incorrectly manufactured production tool. Therefore, testing with this_x000a_cable is insufficient. The insufficiency subsequently runs afoul of the EN 60601-1 Medical Electrical Equipment_x000a_standard._x000a_Problem 2:_x000a_An additional error was identified in the process of the investigation. When the CARDIOHELP Service Manual_x000a_was created, the measurement of the patient leakage current was not taken into account. This error is unrelated_x000a_and incidental to the finding explained in the previous paragraph"/>
    <s v="Root cause was not stated by the supplier. Investigation was conducted by supplier."/>
    <n v="0"/>
    <s v="Supplier confirmed: &quot;Please be aware that while the affected CARDIOHELP-i units are not required to be returned and may continue to be used as usual, it is crucial to arrange an Electrical Safety Test through local Getinge representative. They will also handle any necessary repairs.&quot; The customer was informed. "/>
    <s v="N"/>
    <s v="N/A"/>
    <s v="N/A"/>
    <s v="24/01/2024"/>
  </r>
  <r>
    <s v="24-243"/>
    <x v="1"/>
    <x v="4"/>
    <s v="RP, btuna, ssu"/>
    <s v="Vienna"/>
    <x v="0"/>
    <s v="Nektar Group"/>
    <s v="UNDP"/>
    <s v="20221293"/>
    <x v="0"/>
    <x v="3"/>
    <s v="Orders for Shredder and Generators delayed for more than half a year, the goods are from Chinese manufacturer but we are buying them from local partner Nektar Group since 3-year warranty is requested and manufactures don't accept it"/>
    <s v="Considering that manufacturer are in China, and End destination is HAITI, we should not have sourced the goods from supplier NektarLife which is based in Ethiophia since Day I."/>
    <n v="9000"/>
    <s v="Supplier Nektargroup has been blocked on SAM and Amex has requested for refund of the goods "/>
    <s v="N"/>
    <s v="N/A"/>
    <s v="N/A"/>
    <s v="closed"/>
  </r>
  <r>
    <s v="24-244"/>
    <x v="0"/>
    <x v="5"/>
    <s v="emangenje"/>
    <s v="Vienna"/>
    <x v="1"/>
    <s v="Purepharm"/>
    <s v="UNDP;UNHCR; Medical Action Myanmar, "/>
    <s v="20233251, 20232998, 20232993, 20233253, 20231799"/>
    <x v="0"/>
    <x v="1"/>
    <s v="Purepharm did not include data logger in the inbound shipment even though requested."/>
    <s v="Mistake at supplier warehouse"/>
    <s v="                            -"/>
    <s v="The vehicle temperature log was used to assess any temperature deviations "/>
    <s v="N"/>
    <s v="N/A"/>
    <s v="N/A"/>
    <d v="2024-02-07T00:00:00"/>
  </r>
  <r>
    <s v="24-245"/>
    <x v="1"/>
    <x v="6"/>
    <s v="mperez"/>
    <s v="Vienna"/>
    <x v="0"/>
    <s v="DG Solutions + CP "/>
    <s v="WHO"/>
    <s v="20232088"/>
    <x v="2"/>
    <x v="1"/>
    <s v="Dg solutions did not send one package to CP and when repacking, this package was not included. Customer picked up order, but later inform that it was not complete. "/>
    <s v="Miscommunication between DG nad CP while repacking the items "/>
    <n v="397"/>
    <s v="we shipped the item that was left behind via DHL"/>
    <s v="N"/>
    <s v="N/A"/>
    <s v="N/A"/>
    <d v="2024-04-02T00:00:00"/>
  </r>
  <r>
    <s v="24-246"/>
    <x v="0"/>
    <x v="7"/>
    <s v="emangenje"/>
    <s v="Vienna"/>
    <x v="1"/>
    <s v="Octapharma"/>
    <s v="UNDP"/>
    <s v="20233156"/>
    <x v="0"/>
    <x v="4"/>
    <s v="Supplier delivered product, Human coagulation Factor IX, with different  expiry date from the one confirmed and agreed to.  We contacted the supplier and realised that they had shared documents with the wrong shelf life of 36 months when in fact the product has a shelf life of 24 months , as a result the expiry date that we had calculated was incorrect becuase it  extended beyond the shelf life of the product, so would not have been possible to receive. Based on the actual shelf life the product had over 90% remaining shelf life."/>
    <s v="The shelf life shared by the supplier via email and in their documents  was incorrect. Therefore, the expiry date was also incorrect ."/>
    <s v="                            -"/>
    <s v="Since the expiry date had been shared with the customer when the PO was accepted , we had to communicate the change in expiry date to the customer .The customer understood and we were able to deliver the product.. "/>
    <s v="N"/>
    <s v="N/A"/>
    <s v="N/A"/>
    <d v="2024-03-04T00:00:00"/>
  </r>
  <r>
    <s v="24-247"/>
    <x v="0"/>
    <x v="8"/>
    <s v="ebessenyeiova, lristic"/>
    <s v="Vienna"/>
    <x v="1"/>
    <s v="Biocodex, Unihelp, ILAPO"/>
    <s v="UNDP"/>
    <s v="20230478-3_x000a_20231832_x000a_20232537"/>
    <x v="1"/>
    <x v="5"/>
    <s v="Temperature deviations occurred during three shipments to Kazakhstan, operated by FF Gebruder Weiss. _x000a_Shipment 1 - deviation to 8 degrees_x000a_Shipment 2 - deviation to 11 degrees_x000a_Shipment 3 - deviation to -1.7 degrees "/>
    <s v="1)Turkish Air:  AWB 235-4087 1725 – in October 2023:  “It was a handling mistake which happened during the preparation phase and stored in the COL storage. After your information, that there were a temperature deviations – we arranged a claim to Turkish Air. “_x000a__x000a__x000a_2)_x0009_Shipment with Lufthansa Cargo – under AWB 020-2239 8246 and AWB 020 - 04627022: _x000a_“Summarizing, all collected data indicate that we principally handled and stored your shipment according to the Passive Temp Support features as published in the TACT rules. The recorded temperature deviations match with the time of handling procedures such as loading/unloading, relocation and truck/flight preparation and flight. Please note that temperatures are only guaranteed during the entire transportation if moved with the Active Temp Control product.”_x000a_The shipments are passive packed shipments; temperature control can be done – during transportation and storage – whenever it is possible. _x000a_"/>
    <n v="0"/>
    <s v="CAPA needed"/>
    <s v="Y"/>
    <s v="1) Stability/safety of the pharmaceutical products despite temperature deviations confirmed with the manufacturer for all three products and the customer was informed._x000a_2) Considering these deviations occurred over a period of three months, it appears to be indicative of a trend.  Investigational report including root cause and risk analysis requested from the FF. "/>
    <s v="1. Corrective measure: Stability/safety of the pharmaceutical products despite temperature deviations confirmed with the manufacturer for all three products and the customer was informed._x000a_2. Preventative measure: To be confirmed with BU manager."/>
    <s v="17/05/2024"/>
  </r>
  <r>
    <s v="24-248"/>
    <x v="1"/>
    <x v="9"/>
    <s v="emangenje"/>
    <s v="Vienna"/>
    <x v="1"/>
    <s v="Biocodex"/>
    <s v="UNDP"/>
    <s v="20232904"/>
    <x v="3"/>
    <x v="5"/>
    <s v="Durng transportation of Stiripentol 500 mg , the temperature dropped to 8°C. The customer shared the data logger report showing the deviaton with Amex. The shipment was done through  Quehenberger  Air and Ocean GmBH. The goods were packed in polyboxes with thermal blankets ."/>
    <s v="Extreme weather conditions"/>
    <s v="                            -"/>
    <s v="Amex checked with supplier and confirmed that goods were still good for use. Quality team had call with polybox company to find out more information about using them"/>
    <s v="N"/>
    <s v="N/A"/>
    <s v="N/A"/>
    <d v="2024-02-15T00:00:00"/>
  </r>
  <r>
    <s v="24-249"/>
    <x v="0"/>
    <x v="10"/>
    <s v="ebessenyeiova"/>
    <s v="Vienna"/>
    <x v="1"/>
    <s v="Recordati"/>
    <s v="UNDP"/>
    <s v="20232436 "/>
    <x v="4"/>
    <x v="5"/>
    <s v="Temperature deviation occurred during the inbound shipment to Turkmenistan. Customer was responsible for this shipment as PO was with FCA incoterm. Maximum temperature was 11 degrees (product is keep cool product)."/>
    <s v="As we were not responsible for shipping the goods we havent investigate the root cause. We just checked with the manufacturer if temperature deviation has any implications on quality of products. "/>
    <n v="0"/>
    <s v="We have confirmed with the manufacturer if temperature deviation is acceptable and if product can be released for further use by the end user. As supplier confirmed, no further action was needed. "/>
    <s v="N"/>
    <s v="N/A"/>
    <s v="N/A"/>
    <s v="19.02.2024"/>
  </r>
  <r>
    <s v="24-250"/>
    <x v="0"/>
    <x v="11"/>
    <s v="aebeid"/>
    <s v="Vienna"/>
    <x v="0"/>
    <s v="SETON UK_x000a_GIMA_x000a_Roth"/>
    <s v="GIZ"/>
    <s v="20220171"/>
    <x v="2"/>
    <x v="1"/>
    <s v="Items that went missing from Schachinger despite evidence indicating their receipt. We have received photographic evidence confirming the presence of the items; however, according to Kevin, they were never logged into the inventory."/>
    <s v="The items were in Cargo Partner and moved to Schachinger to pack with other pharma items. The warehouse did not came to the conclusion about clear root cause. Thegoods will be sent to the customer."/>
    <n v="82"/>
    <s v=" 1. The warehouse was instructed to conduct The investigation._x000a_2. The order was cancelled"/>
    <s v="N"/>
    <s v="N/A"/>
    <s v="N/A"/>
    <d v="2024-10-28T00:00:00"/>
  </r>
  <r>
    <s v="24-251"/>
    <x v="1"/>
    <x v="12"/>
    <s v="CC"/>
    <s v="Vienna"/>
    <x v="0"/>
    <s v="Schachinger "/>
    <s v="WHO"/>
    <s v="20200671-08"/>
    <x v="2"/>
    <x v="6"/>
    <s v="The kits sent to customer were inspected at destination and found discrepancies on the content declared, as below: _x000a_•_x0009_The items physically inspected in the kits have different batches and expiry dates than those mentioned in the packing lists and shipment documents_x000a_•_x0009_The items physically inspected have a shorter expiry (FEB 2024 instead of SEPT 2024 for Module 2) and ( JULY 2027 instead of SEPTEMBER 2024)_x000a_•_x0009_The items physically inspected have different lot numbers than what is stated on the official shipment documentation"/>
    <s v="The warehouse does not follow properly the picking instructions provided by AMEX: They do not do a physical inspection of the lot taken to configure the kits, and matching the lot with the instruction provided by AMEX. "/>
    <n v="450"/>
    <s v="We requested to the warehouse to prepare the batches which were supposed to be included in the shipment and we ship them to the customer, they replaced thus items with th enew ones on each kit. We also printed new labels to match the content and send them to customer. "/>
    <s v="N"/>
    <s v="N/A"/>
    <s v="N/A"/>
    <d v="2024-01-10T00:00:00"/>
  </r>
  <r>
    <s v="24-252"/>
    <x v="0"/>
    <x v="13"/>
    <s v="kamann"/>
    <s v="Vienna"/>
    <x v="1"/>
    <s v="Ovelle"/>
    <s v="UNRWA"/>
    <s v="20180188-108"/>
    <x v="2"/>
    <x v="1"/>
    <s v="40 pcs. of Calamine Lotion were missing. Schachinger confirmed they made a packing mistake. It was agreed with customer that we would include the missing 40pcs. in the next shipment to them. "/>
    <s v="The warehouse staff accidentaly forgot to put box with 40 pcs of Calamine Lotion to the pallet."/>
    <n v="0"/>
    <s v="Missing items will be sent to the customer with upcoming shipment. The warehouse was instructed to double-check the pallets before the shipment. "/>
    <s v="N"/>
    <s v="N/A"/>
    <s v="N/A"/>
    <d v="2024-03-27T00:00:00"/>
  </r>
  <r>
    <s v="24-253"/>
    <x v="1"/>
    <x v="14"/>
    <s v="kkanckova"/>
    <s v="Vienna"/>
    <x v="0"/>
    <s v="Sigma"/>
    <s v="UNOPS"/>
    <s v="20230352"/>
    <x v="4"/>
    <x v="5"/>
    <s v="2-8°C Shipment from Vienna to DAP Dhaka, Bangladesh_x000a_-_x0009_Shipped 26th May 2023 by Air from Vienna_x000a_-_x0009_DAP Delivered end of February 2024 – the goods were very long at customs because UNOPS didn´t clear it ´´on time´´_x000a__x000a_UNOPS Complain is about following:_x000a_-_x0009_Item 33321-14571C-1000ML expired Feb 2024 _x000a_-_x0009_2-8°C shipment was not stored at 2-8°C conditions during the whole 9 months at customs_x000a_"/>
    <s v="Wrong type of data logger accidentaly added to the shipment by CP warehouse (15-25°C instead of 2-8)._x000a__x000a_Internal changes in UNOPS caused lack of communication and processing customs clearance very late._x000a__x000a_The expired Item 33321-14571C-1000ML was out of AMEX responsibility as UNOPS didn´t clear the shipment since 9 months at customs._x000a__x000a_The storage conditions (2-8°C) at customs were also out of AMEX and FF responsibility as customs were supposed to store them as per AWB markings. "/>
    <n v="0"/>
    <s v="OP checked with Sigma for Stability report : not available, testing by end user was recommended. UNOPS decided to close this case without replacement and further testing by end user. _x000a__x000a_CP Warehouse FP investigated if correct data logger was used however the 15-25 data logger was in the package, instead of 2-8°C."/>
    <s v="N"/>
    <s v="N/A"/>
    <s v="N/A"/>
    <s v="21/03/2024"/>
  </r>
  <r>
    <s v="24-254"/>
    <x v="0"/>
    <x v="15"/>
    <s v="rabdelhadi"/>
    <s v="Vienna"/>
    <x v="1"/>
    <s v="SunPharma"/>
    <s v="IAEA"/>
    <s v="20231268"/>
    <x v="0"/>
    <x v="5"/>
    <s v="Product (Pyrophosphate Cold Kit Kit for the Preparation of Technetium, Manufacturer: SunPharma) was shipped via DHL from Massachusetts, USA to Vienna, Austria. OP instructed supplier to ship product in polybox and to add datalogger. Once received in Vienna warehouse, warehouse staff notfified Operations specialist that neither polybox nor data logger were used. "/>
    <s v="The supplier claimed the data logger was included and they confirmed they are not using polyboxes for shipment. The supplier was asked to conduct investigation from their side, however this was not accepted."/>
    <n v="0"/>
    <s v="The supplier performed assessment based on weather conditions and shipping route and confirmed goods are safe for use. "/>
    <s v="N"/>
    <s v="N/A"/>
    <s v="N/A"/>
    <s v="22/03/2024"/>
  </r>
  <r>
    <s v="24-255"/>
    <x v="0"/>
    <x v="13"/>
    <s v="aashammari"/>
    <s v="Vienna"/>
    <x v="1"/>
    <s v="Sanofi Pastuer"/>
    <s v="UNPD"/>
    <s v="20240052"/>
    <x v="1"/>
    <x v="0"/>
    <s v="The shipment from Sanofi was originally planned to be shipped directly from the supplier's premises. -batch Release was done based on the shipment plan However, due to customs issues in France, we had to bring it to our warehouse and then ship it to the customer from Austria."/>
    <s v="The offer was submitted with the assumption of direct shipment, without taking into account Sanofi's requirements for shipping directly from their premises. Sanofi requires quality documents and certificates, which unfortunately we were unable to provide, as the consignee was the UNPD HQ in NY."/>
    <n v="2000"/>
    <s v="We had to bring the goods to Schachinger in Austria then shipped to UNDP HQ in Ny"/>
    <s v="N"/>
    <s v="N/A"/>
    <s v="N/A"/>
    <s v="22/03/2024"/>
  </r>
  <r>
    <s v="24-256"/>
    <x v="0"/>
    <x v="16"/>
    <s v="aashammari"/>
    <s v="Vienna"/>
    <x v="1"/>
    <s v="AGUETTANT"/>
    <s v="UNPD"/>
    <s v="20222606"/>
    <x v="3"/>
    <x v="5"/>
    <s v="Shipment from AAGUETTANT came with slight Temp deviation."/>
    <s v="Goods stayed longer than expected at customs."/>
    <n v="0"/>
    <s v="the Manufacturer was requested to confirm if the goods are still good for use based on their stability data sheet"/>
    <s v="N"/>
    <s v="N/A"/>
    <s v="N/A"/>
    <s v="22/03/2024"/>
  </r>
  <r>
    <s v="24-257"/>
    <x v="1"/>
    <x v="17"/>
    <s v="kkanckova"/>
    <s v="Vienna"/>
    <x v="0"/>
    <s v="Biobase"/>
    <s v="UNOPS"/>
    <s v="20231480"/>
    <x v="3"/>
    <x v="7"/>
    <s v="_x000a_The outer case of the product 1 piece of  &quot;Vortex Mixer&quot; arrived broken at the end users site (Laboratory in Toba Tek Singh in Pakistan). Therefore the end user informed AMEX about the damage."/>
    <s v="The outer case was damaged due to mishandling during transportation by the freight forwarder._x000a_"/>
    <s v="100USD"/>
    <s v=" Biobase shipped new parts of the product  directly to Pakistan for repair._x000a_They shared an instruction video with AMEX for repair. AMEX sent a local ingenieur to repair the item locally (around 100 USD costs)._x000a__x000a_After repair, second complaint arrived from the end user as the touch mode was not working properly. The supplier (Biobase) shared a video with the local partner who visited the end user and fixed it. _x000a_"/>
    <s v="N"/>
    <s v="N/A"/>
    <s v="N/A"/>
    <d v="2024-05-23T00:00:00"/>
  </r>
  <r>
    <s v="24-258"/>
    <x v="0"/>
    <x v="17"/>
    <s v="emangenje"/>
    <s v="Vienna"/>
    <x v="1"/>
    <s v="Bristol Labs"/>
    <s v="IAEA;UNICEF and UNDP"/>
    <s v="20232366, 20233240, 20232993"/>
    <x v="3"/>
    <x v="4"/>
    <s v="Südost cargo issued 2 CMR documents/numbers (CMR numbers 23008 and 1240300706) for the same shipment due to miscommunication between them and the supplier. Both were signed by the supplier and Schachinger. Only CMR 1240300706 was used for customs."/>
    <s v="Miscommunication between Südost cargo and their driver"/>
    <s v="                            -"/>
    <s v="This was communicated with supplier who also documented this in their reports"/>
    <s v="N"/>
    <s v="N/A"/>
    <s v="N/A"/>
    <d v="2024-04-29T00:00:00"/>
  </r>
  <r>
    <s v="24-259"/>
    <x v="0"/>
    <x v="18"/>
    <s v="emangenje"/>
    <s v="Vienna"/>
    <x v="1"/>
    <s v="Wockhardt"/>
    <s v="UNDP"/>
    <s v="20232572"/>
    <x v="4"/>
    <x v="5"/>
    <s v="After arrival of a  consignment with Sulfadiazine 500mg Tablets   in Havana, Cuba data loggers showed a temperature deviation of  28°C . From the data logger report, the time stamp shows that the deviation occured after the goods had arrived in Cuba. FF was Quehenberger Air + Ocean GmbH."/>
    <s v="Customer delayed collection of goods "/>
    <s v="                            -"/>
    <s v="Amex checked with manufacturere who confirmed that the goods were still good for use "/>
    <s v="N"/>
    <s v="N/A"/>
    <s v="N/A"/>
    <d v="2024-03-26T00:00:00"/>
  </r>
  <r>
    <s v="24-260"/>
    <x v="0"/>
    <x v="19"/>
    <s v="rreedy, ssu"/>
    <s v="Vienna"/>
    <x v="0"/>
    <s v="Thermo Fisher Scientific"/>
    <s v="UNDP"/>
    <s v="2023055"/>
    <x v="0"/>
    <x v="4"/>
    <s v="Supplier delivered 13k EUR value goods after items were confirmed cancelled, has not collected return shipment and now advises credit note not possible."/>
    <s v="Order not correctly cancelled in Thermo system"/>
    <n v="8000"/>
    <s v="RR included Quality in communcations 16/05 requesting credit note and collection of return shipment from supplier, credit note for one invoice has been received, three still pending"/>
    <s v="N"/>
    <s v="N/A"/>
    <s v="N/A"/>
    <s v="closed"/>
  </r>
  <r>
    <s v="24-261"/>
    <x v="0"/>
    <x v="20"/>
    <s v="ebessenyeiova"/>
    <s v="Vienna"/>
    <x v="1"/>
    <s v="Accord, PharmIdea"/>
    <s v="UNDP"/>
    <s v="20230943, 20222599"/>
    <x v="3"/>
    <x v="5"/>
    <s v="Temperature deviation reported after goods were delivered to the customer (UNDP Turkmenistan). Temperature for keep cool shipment went up to 9.9 °C, shipped in vallidated pallet shippers (shipment lasted 5 days in total). Temperature for 15-25 shipment was between 7.8 °C and 26.4 °C, thermal blankets were used (shipment lasted 4 days)."/>
    <s v="Temperature deviation has not been significant and both manufacturers confirmed goods are good to be used therefore the root cause was not further investigated. "/>
    <n v="0"/>
    <s v="Immediately after the deviation has been reported by the end user we have approached both manufacturers. Both of them confirmed that the deviation does not have any implications on quality of products and goods can be released for further use. Customer accepted the confirmation and no further actions were needed. "/>
    <s v="N"/>
    <s v="N/A"/>
    <s v="N/A"/>
    <s v="20.03.2024"/>
  </r>
  <r>
    <s v="24-262"/>
    <x v="1"/>
    <x v="21"/>
    <s v="lristic, nilic"/>
    <s v="Vienna"/>
    <x v="1"/>
    <s v="Schachinger assembled kit"/>
    <s v="ICRC"/>
    <s v="20212119-00"/>
    <x v="1"/>
    <x v="4"/>
    <s v="Customer complaint:_x000a_&quot;There was so many issues with those kits... I can even say that this is the first time in more than 10 years of managing kits that I have seen such an array of problems on a same delivery. _x000a__x000a_1. batch issues - incorrect labels, discrepancy in data on the labels and content list and actual content in the kitts._x000a_2. Wrong item - one of the boxes included chlorine from batch W476 instead W346._x000a_3.Documentation issues- labels and content lists were corrected by hand with a pen (no date and signature)_x000a_4. wrong expiry date mentioned for detergent DDN Surf (MASDCLEMS5LI) with batch 8271_x000a_5. pumps (1 unit missing and not mentioned in the documents) _x000a_6. content list is supposed to be placed in box 1 of the kit and it was in box 2. _x000a_7. palletization - We cannot accept pallets with boxes 1 only and pallets with boxes 2 only. Boxes 1 and 2 of the same kit should be packed on a same pallet._x000a_8. reuse of Franklab boxes as kit box 2/2, although openings on the box and without hiding the original batch number / expiry date. &quot;"/>
    <s v="1._x0009_Warehouse related issues:_x000a_-_x0009_We’ve worked for 8 years with best pharma warehouse in Austria that had almost zero quality excursions in the past years. The warehouse is GDP certified by AGES (Austrian pharmacy authorities) and has been audited by following customers USAID, Unicef and UNDP._x000a_-_x0009_Unfortunately, around 6 months ago we started to observe a decline in service quality levels. The warehouse underwent a significant turnover among key warehouse personnel (warehouse manager, CEO and a number of experienced warehouse workers left). This led to communication and procedural non-compliance issues, which we are actively mitigating. _x000a_-_x0009_These issues are raised to the Quality Manager and CEO. _x000a_-_x0009_The largest issues observed in this case:_x000a_-_x0009_Communication: not providing feedback to the OP specialist of AMEX; taking “proactive” resolutions without priory confirmation with the OP specialist of AMEX. _x000a__x000a_2._x0009_Amex related issues:_x000a_-_x0009_Working instructions for KMEDSDIS025 kit need enhancement. _x000a_-_x0009_Introduce formal system to track updates to annexes and ensure all necessary steps are taken, including consulting the customer if updates should be implemented for kits that are already in the packing process._x000a_-_x0009_Communication - Instructions for the warehouse personnel are not clear enough. "/>
    <n v="566.5"/>
    <s v="CAPA needed"/>
    <s v="Y"/>
    <s v="1) Identify issues within Amex operational team_x000a_2) Identify issues within WH "/>
    <s v="1._x0009_The kits are relabeled internally within customer’s premises. Amex will be charged for the workload hourly rate of 50 CHF)._x000a_2._x0009_Full CAPA investigation initiated._x000a_3._x0009_Credit note will be issued to the client._x000a__x000a_1._x0009_Warehouse related issues: _x000a_-_x0009_Short term solution: _x000a_•_x0009_Drafting working instructions for KMEDSDIS025 kit. _x000a_•_x0009_Schedule live re-training for the warehouse personnel. _x000a_•_x0009_The system for final quality control check of finished kits needs to be further optimized._x000a_Summary of outcomes from AMEX meeting with Schachinger CEO, actions taken and planned: _x000a_•_x0009_hired a Process Manager, to review and improve all processes._x000a_•_x0009_hire Site manager._x000a_•_x0009_hire Warehouse manager. _x000a_•_x0009_they initiated workshops to review AMEX' operation._x000a_•_x0009_invest in kitting._x000a_•_x0009_do retraining._x000a_These are steps in the right direction, but we do not have full confidence, therefore we take full control, and will oversee the kitting by ourselves._x000a__x000a_-_x0009_Long term solution: _x000a_•_x0009_Improve warehouse set up by moving the pharma warehousing to a different 3PL. It will be the same warehouse, which handles all non-pharma logistics. Estimated timing for the go live is Q4 / 2024._x000a_2._x0009_Amex related issues:_x000a_-_x0009_Working instructions to be improved._x000a_-_x0009_Implement automation within the new ERP for selected parts of the kitting process._x000a_-_x0009_Additional live training to be scheduled for the warehouse personnel._x000a_-_x0009_Next two batches of this kit to be inspected by OP specialist._x000a_-_x0009_More dedicated team members to be assigned to kitting project."/>
    <d v="2024-08-20T00:00:00"/>
  </r>
  <r>
    <s v="24-263"/>
    <x v="0"/>
    <x v="22"/>
    <s v="aashammari"/>
    <s v="Vienna"/>
    <x v="1"/>
    <s v="Sanofi "/>
    <s v="MAUL"/>
    <n v="20240499"/>
    <x v="4"/>
    <x v="5"/>
    <s v="Customer requested to know if the goods are still good for use, as they experienced a temperature excursion at customs after delivery to the airport."/>
    <s v="goods stayed long period at Customs in Entebbe Airport"/>
    <n v="0"/>
    <s v="_x000a_AAS: I shared the deviation with the supplier, provided all necessary reports, and requested confirmation regarding the suitability of the goods for use."/>
    <s v="N"/>
    <s v="NA"/>
    <s v="NA"/>
    <d v="2024-10-28T00:00:00"/>
  </r>
  <r>
    <s v="24-264"/>
    <x v="1"/>
    <x v="23"/>
    <s v="btuna"/>
    <s v="Vienna"/>
    <x v="0"/>
    <s v="Radiologia"/>
    <s v="UNDP"/>
    <n v="20221727"/>
    <x v="0"/>
    <x v="2"/>
    <s v="A total of 4 detectors of 4 Xray units out of 61 units ordered arrived defect. They had to be returned to the supplier for repair. All defected pieces were replaced with new ones."/>
    <s v="Manufacturing defect. Batch will undergo testing by the manufacturer to analyze detailed root cause."/>
    <n v="1000"/>
    <s v="The issue was reported to the supplier and the detectors returned. The supplier replaced the defected pieces with new ones. In addition, the supplier will do a test on the batch's quality and share the results with AMEX."/>
    <s v="N"/>
    <s v="N/A"/>
    <s v="N/A"/>
    <s v="N/A"/>
  </r>
  <r>
    <s v="24-265"/>
    <x v="0"/>
    <x v="24"/>
    <s v="ebessenyeiova"/>
    <s v="Vienna"/>
    <x v="1"/>
    <s v="Schachinger"/>
    <s v="UNDP"/>
    <n v="20230972"/>
    <x v="2"/>
    <x v="4"/>
    <s v="I have noticed that warehouse has been checking serialisation during the inbound procedure even though they should not be doing this anymore. "/>
    <s v="Lack of knowledge of the personel. "/>
    <n v="0"/>
    <s v="Deviation from the process has been reported to colleagues handling Schachinger relations and it will be pointed out to the personel. "/>
    <s v="N"/>
    <s v="NA"/>
    <s v="NA"/>
    <s v="03.05.2024"/>
  </r>
  <r>
    <s v="24-266"/>
    <x v="0"/>
    <x v="24"/>
    <s v="ebessenyeiova"/>
    <s v="Vienna"/>
    <x v="1"/>
    <s v="Sanofi"/>
    <s v="UNDP"/>
    <n v="20230972"/>
    <x v="0"/>
    <x v="5"/>
    <s v="Supplier was responsible for organising inbound delivery to our warehouse and temperature dropped to 13.4 degrees. "/>
    <s v="The supplier was instructed by OP to ship goods with temperature-controlled truck. However, after delivery supplier confirmed the temperature controlled shipment has not been organised. "/>
    <n v="0"/>
    <s v="Deviation checked with maufacturer who confirmed goods are good to be released to the end user and there is no impact on quality of the product. "/>
    <s v="N"/>
    <s v="NA"/>
    <s v="NA"/>
    <s v="03.05.2024"/>
  </r>
  <r>
    <s v="24-267"/>
    <x v="1"/>
    <x v="25"/>
    <s v="mperez"/>
    <s v="Vienna"/>
    <x v="0"/>
    <s v="Cargo Partner"/>
    <s v="WHO"/>
    <s v="20231204-02"/>
    <x v="2"/>
    <x v="5"/>
    <s v="On date 5.11.2024 WHO sent the following claim: the shipment arrived at the warehouse in Dubai on May 6th,2024. It was supposed to be transported with dry ice at -20°C, but it arrived without dry ice and without a datalogger. Additionally, the inside of the cool box is very dirty._x000a__x000a_Pictures of the goods were also sent along with the complaint"/>
    <s v="The OP sent the dispatch instructions as a keep frozen item. The warehouse (CP) confirmed that the data logger was included in the shipment. They also shared the data logger report for this shipment. The freight forwared was contacted to check if there were any discrepancies from their part, however, they confirmed that there were not. No proofs were sent along the confirmation. But WHO claims that the item arrived melted and without data loggers"/>
    <n v="1275.0999999999999"/>
    <s v="The OP specialist order new items to replace the melted ones. They also arrange a DAP shipment to WHO in EUA. On 7.11.2024 the items were delivered. Pictures of the item on the boc with the data logger were included in the announcement. "/>
    <s v="N"/>
    <s v="NA"/>
    <s v="NA"/>
    <d v="2024-07-11T00:00:00"/>
  </r>
  <r>
    <s v="24-268"/>
    <x v="1"/>
    <x v="26"/>
    <s v="ralghazawi"/>
    <s v="Vienna"/>
    <x v="0"/>
    <s v="Edan"/>
    <s v="UNDP"/>
    <n v="20212256"/>
    <x v="3"/>
    <x v="4"/>
    <s v="The supplier Edan claimed that the cutoms broker forged their company seal for correction of customs declaration without notice of Scan Global logistics. "/>
    <s v="After investigations with Scan Global, they stated: &quot;The goods were scanned with lithium-ion batteries inside when passed through X-ray. Per the shipper, they were unable to provide battery reports and asked us to return their goods, However, the original docs with stamp is a must for CN customs to do the returning. at that time it was non-working days – and subsequently the customs broker apparently amended the stamp, to expedite the procedure in order to avoid storage charges.&quot; "/>
    <n v="0"/>
    <s v="In view of the bad nature of the behavior, Edan have terminated the agency business of this customs broker."/>
    <s v="N"/>
    <s v="N/A"/>
    <s v="N/A"/>
    <s v="ongoing"/>
  </r>
  <r>
    <s v="24-269"/>
    <x v="1"/>
    <x v="26"/>
    <s v="ralghazawi"/>
    <s v="Vienna"/>
    <x v="0"/>
    <s v="Edan"/>
    <s v="UNICEF"/>
    <n v="20240540"/>
    <x v="3"/>
    <x v="4"/>
    <s v="The supplier Edan claimed that the customs broker applied correction of customs declaration with false reasons without notice of the freight forwarder - Cargo-partner Logistics and Edan . And they mentioned that the behavior has unpredictable legal risks. "/>
    <s v="After investigations with CP they stated : &quot; We have checked this internally with our colleagues in CN, who have informed us that this mistake has happened from an external broker. It seems like the console truck did not arrive to terminal in time, that is why they have used this particular reason. According to our colleagues there should not be troubles with customs though. &quot;"/>
    <n v="0"/>
    <s v=" Cargo Partner informed us that the cutsoms broker has been blacklisted since this incident."/>
    <s v="N"/>
    <s v="N/A"/>
    <s v="N/A"/>
    <s v="03.05.2024"/>
  </r>
  <r>
    <s v="24-270"/>
    <x v="1"/>
    <x v="27"/>
    <s v="nilic"/>
    <s v="Vienna"/>
    <x v="1"/>
    <s v="Relonchem"/>
    <s v="ICRC"/>
    <s v="20212098-14"/>
    <x v="2"/>
    <x v="4"/>
    <s v="Batch GQ3041 9721 boxes announced, but 9731 boxes delivered (10 extra). Batch GQ4004, 453 boxes announced, but 443 boxes delivered (10 less). Total quantity received correct."/>
    <s v="Book in the goods during inbound process and miscounting the quantity per batch._x000a_Preparation of the shipment and re-packing process (not re-counting quantities per batch)"/>
    <n v="0"/>
    <s v="Since the total quantity of received goods is accurate, AMEX provided amended shipping documents to the customer, reflecting the correct batches and quantities."/>
    <s v="Y"/>
    <s v="In order to prevent same/similar errors from happening in future, we will introduce following preventive measures:_x000a_1. Training and re-training of the warehouse employees involved in the inbound process._x000a_2. Introduction of double-check procedure where a second employee verifies each incoming shipment._x000a_3. Regular quality checks to review and update packing process in order to identify any areas for improvement (this could_x000a_involve periodic audits or inspections)._x000a_4. Recounting quantities per batch during repacking process."/>
    <s v="In order to prevent same/similar errors from happening in future, we will introduce following preventive measures:_x000a_1. Training and re-training of the warehouse employees involved in the inbound process._x000a_2. Introduction of double-check procedure where a second employee verifies each incoming shipment._x000a_3. Regular quality checks to review and update packing process in order to identify any areas for improvement (this could_x000a_involve periodic audits or inspections)._x000a_4. Recounting quantities per batch during repacking process."/>
    <d v="2024-06-04T00:00:00"/>
  </r>
  <r>
    <s v="24-271"/>
    <x v="1"/>
    <x v="28"/>
    <s v="nilic"/>
    <s v="Vienna"/>
    <x v="1"/>
    <s v="Schachinger assembled kit"/>
    <s v="ICRC"/>
    <s v="20230201-01"/>
    <x v="2"/>
    <x v="1"/>
    <s v="Quantity announced by AMEX: 80 kits, physically received: 79 kits. 1 kit missing."/>
    <s v="Outbound process, preparation of the shipment and miscounting of the kits due to the human mistake."/>
    <n v="173.21"/>
    <s v="Since the total quantity of received goods did not correspond shipping documents and invoice, AMEX provided amended shipping documents to the_x000a_customer, reflecting the correct number of received kits, as well as the credit note for the missing kit."/>
    <s v="Y"/>
    <s v="In order to prevent same/similar errors from happening in future, we will introduce following preventive measures:_x000a_1. Training and re-training of the warehouse employees involved in the packing process._x000a_2. Introduction of double-check procedure where a second employee verifies each shipment before it is dispatched._x000a_3. Regular quality checks to review and update packing process in order to identify any areas for improvement (this could_x000a_involve periodic audits or inspections)."/>
    <s v="In order to prevent same/similar errors from happening in future, we will introduce following preventive measures:_x000a_1. Training and re-training of the warehouse employees involved in the packing process._x000a_2. Introduction of double-check procedure where a second employee verifies each shipment before it is dispatched._x000a_3. Regular quality checks to review and update packing process in order to identify any areas for improvement (this could_x000a_involve periodic audits or inspections)."/>
    <d v="2024-06-04T00:00:00"/>
  </r>
  <r>
    <s v="24-272"/>
    <x v="0"/>
    <x v="29"/>
    <s v="ebessenyeiova"/>
    <s v="Vienna"/>
    <x v="1"/>
    <s v="ILAPO"/>
    <s v="UNDP"/>
    <n v="20230317"/>
    <x v="1"/>
    <x v="5"/>
    <s v="Temperature deviation during inbound shipment to the Kazakhstan. Temperature went up to 26,5 degrees for 3 hours. Product in general does not have temperature storage requirements, however, as it is pharma product, we treat it as per our standards at 15-25 degrees product same as customer."/>
    <s v="Goods were packed in validated boxes that holds the temperature and collected by FF on 10.05. Product left Vienna in a flight to Frankfurt on 13.05 17:17 and arrived 18:33 the same day. Goods departed to Almaty on 14.05. 16:12 and arrived on 15.05 02:22. Highest temperature deviation happened on 13:40 reported by 2 out of 4 data loggers. "/>
    <n v="0"/>
    <s v="We have evaluated DL reports on our side and confirmed to customer that goods are good to be released to the end user. As per SSPC there are no special storage and shipping conditions required for this product. "/>
    <s v="N"/>
    <s v="N/A"/>
    <s v="N/A"/>
    <d v="2024-05-16T00:00:00"/>
  </r>
  <r>
    <s v="24-273"/>
    <x v="0"/>
    <x v="30"/>
    <s v="ebessenyeiova"/>
    <s v="Vienna"/>
    <x v="1"/>
    <s v="PharmIdea"/>
    <s v="UNDP"/>
    <n v="20222599"/>
    <x v="3"/>
    <x v="5"/>
    <s v="Temperature during the inbound to our warehouse went up to 8,1 degrees for keep cool delivery. Product is keep cool product therefore should be kept between 2-8 degrees. "/>
    <s v="Temperature in the truck went high to 8.1 degrees during the shipment which lasted for very short period of time. "/>
    <n v="0"/>
    <s v="Data logger report has been checked with the supplier who confirmed goods are good to be released for further use. "/>
    <s v="N"/>
    <s v="N/A"/>
    <s v="N/A"/>
    <d v="2024-05-16T00:00:00"/>
  </r>
  <r>
    <s v="24-274"/>
    <x v="1"/>
    <x v="30"/>
    <s v="satanassova"/>
    <s v="Vienna"/>
    <x v="0"/>
    <s v="Truscare"/>
    <s v="UNDP"/>
    <n v="20230704"/>
    <x v="0"/>
    <x v="2"/>
    <s v="Syringes and needles for Belarus 4105401-1: The import into the country of Belarus is possible only after registration of the medical items. During approval of registration documents we were  informed by UNDP that QUOTE: &quot;documents provided were reviewed by our QA team and it was concluded that the supplied items are not compliant with UNDP QA policy and can’t be accepted for shipment.&quot; UNQUOTE _x000a_in connection with CE certificate and marking on the products reviewed by TUV,_x000a_&quot;and therefore are NOT compliant with UNDP QA policy.&quot;_x000a_we have been requested to replace the items with alternatives which are already registered in Belarus."/>
    <s v="Lack of EU MDR regulation knowledge from the supplier, putting CE mark on the products that will be shipped to Belarus "/>
    <s v="26424 $"/>
    <s v="Supplier provided their CAPA plan and the goods were destroyed. Amex provided refund to UNDP and supplier issued credit note in full amount"/>
    <s v="N"/>
    <s v="N/A"/>
    <s v="N/A"/>
    <d v="2024-11-21T00:00:00"/>
  </r>
  <r>
    <s v="24-275"/>
    <x v="0"/>
    <x v="31"/>
    <s v="rabdelhadi"/>
    <s v="Vienna"/>
    <x v="1"/>
    <s v="Purna "/>
    <s v="UNRWA"/>
    <n v="20180188"/>
    <x v="2"/>
    <x v="7"/>
    <s v="353 Ferrous broken vials in the warehouse - Schachinger"/>
    <s v="Human error from the warehouse employees while handling the box that contains the product.  353 of the 400 vials broke and the 47 vials were heavily spoiled with the liquid. The quality team adviced to dispose all vials."/>
    <n v="214.8"/>
    <s v="The warehouse employees were adviced to handle future shipments with care."/>
    <s v="N"/>
    <s v="NA"/>
    <s v="NA "/>
    <d v="2024-06-04T00:00:00"/>
  </r>
  <r>
    <s v="24-276"/>
    <x v="0"/>
    <x v="22"/>
    <s v="rabdelhadi"/>
    <s v="Vienna"/>
    <x v="0"/>
    <s v="ERBA "/>
    <s v="MSF "/>
    <n v="20201849"/>
    <x v="2"/>
    <x v="5"/>
    <s v="Datalogger did not work for the shipment delieverd to MSF from Cargo partner. This did not allow the costumer to read it thus the products were rejected "/>
    <s v="Technical issue of the datalogger "/>
    <s v="239,7"/>
    <s v="We will replace the items "/>
    <s v="N"/>
    <s v="NA"/>
    <s v="NA"/>
    <d v="2024-08-28T00:00:00"/>
  </r>
  <r>
    <s v="24-277"/>
    <x v="1"/>
    <x v="32"/>
    <s v="rabdelhadi"/>
    <s v="Vienna"/>
    <x v="1"/>
    <s v="Sandoz"/>
    <s v="UNRWA"/>
    <s v="20180188-108"/>
    <x v="2"/>
    <x v="1"/>
    <s v="Missing carton to be send to UNRWA Jordan  - There has been a missing quantity of Bisoprolol Tab of one carton equal to 22,000 tab (220 packs). from Batch: NM2144 "/>
    <s v="Human error - the warehouse employees forgot to unload one pallet to the truck of the FF"/>
    <s v="None - was shipped with the next order "/>
    <s v="Items to be shipped later on "/>
    <m/>
    <s v="NA"/>
    <s v="NA"/>
    <s v="17/07/2024"/>
  </r>
  <r>
    <s v="24-278"/>
    <x v="1"/>
    <x v="33"/>
    <s v="rabdelhadi"/>
    <s v="Vienna"/>
    <x v="1"/>
    <s v="Sance "/>
    <s v="UNRWA"/>
    <s v="20180188-107"/>
    <x v="2"/>
    <x v="6"/>
    <s v="Disparency in shipping documents and what was packed and sent to custumer (UNRWA Lebanon)"/>
    <s v="Human error - the warehouse employees forgot to add the item to the shipment. The warehouse repack, have the dimensions, then unpack and take things back to the shelf. Afterwards, once it is time to pick up they pack again which results in many similar issues "/>
    <s v="None  - was shipped with the next order "/>
    <s v="Items to be shipped later on "/>
    <s v="N"/>
    <s v="NA"/>
    <s v="NA"/>
    <d v="2024-08-28T00:00:00"/>
  </r>
  <r>
    <s v="24-279"/>
    <x v="2"/>
    <x v="34"/>
    <s v="mbisercic"/>
    <s v="Vienna"/>
    <x v="1"/>
    <s v="Amman Pharmaceuticals Industries"/>
    <s v="UNRWA, WHO, ICRC"/>
    <s v="Multiple"/>
    <x v="0"/>
    <x v="4"/>
    <s v="On 17 May 2024, UNRWA forwarded letter of GMP non-compliance of the manufacturing site Amman Pharmaceutical Industries, having several cirtical deviations captured. The report was issued by USA FDA that conducted inspection of the manufacturing site due to some homeopatic products being marketed in the USA._x000a_Products procured by API are immediately tracked and the customers were informed to put those into quarantine until the investigation is ongoing. UNRWA asked for another source, while ICRC and WHO decided not to recall the products as no adverse reports were received by the user of API products. UNICEF and ICRC conducted join inspection and the results are pending. Until those are known, Amman Pharmaceuticals remains blocked in the system"/>
    <s v="out of Amex scope"/>
    <s v="N/A"/>
    <s v="Block supplier"/>
    <s v="N"/>
    <s v="N/A"/>
    <s v="N/A"/>
    <d v="2024-03-15T00:00:00"/>
  </r>
  <r>
    <s v="24-280"/>
    <x v="1"/>
    <x v="35"/>
    <s v="rjohn"/>
    <s v="Vienna"/>
    <x v="0"/>
    <s v="AFMS"/>
    <s v="UNDP"/>
    <n v="20221310"/>
    <x v="0"/>
    <x v="3"/>
    <s v="The supplier's lead times were changed multiple times through procurement. Post procurement, during shipping, the original shipment plan was not kept by supplier and the contents of each shipment lot was arbitarily decided by supplier._x000a_Customer eventually escalated the issue to management as there is a deadline for funding on June 30th."/>
    <s v="Supplier over promising and not communicating actual information"/>
    <n v="3833"/>
    <s v="Escalated to Bassel for intervention; Align within BU to for Sales, Operations and Field that suppliers don’t promise differently at different stage; Escalated to Bassel for discussion during BU Meeting."/>
    <s v="N"/>
    <s v="N/A"/>
    <s v="N/A"/>
    <s v="26/08/2024"/>
  </r>
  <r>
    <s v="24-281"/>
    <x v="1"/>
    <x v="35"/>
    <s v="rjohn"/>
    <s v="Vienna"/>
    <x v="0"/>
    <s v="Logenix"/>
    <s v="UNDP"/>
    <n v="20221310"/>
    <x v="0"/>
    <x v="3"/>
    <s v="Freight transit time over promised by logenix. Transit time from South Africa to Burundi ended up taking 2 months, even though the promise was to keep transit under 30 days. Customer also escalated the issue internally"/>
    <s v="Not providing accurate timelines and inadequate information"/>
    <s v="related to case 24-281; no additional financial impact"/>
    <s v="No actions to address complaint as the goods were already in transit."/>
    <s v="N"/>
    <s v="N/A"/>
    <s v="N/A"/>
    <s v="26/08/2024"/>
  </r>
  <r>
    <s v="24-282"/>
    <x v="0"/>
    <x v="36"/>
    <s v="ebessenyeiova"/>
    <s v="Vienna"/>
    <x v="1"/>
    <s v="Aguettant"/>
    <s v="UNDP"/>
    <n v="20222602"/>
    <x v="0"/>
    <x v="4"/>
    <s v="After goods were delivered to Schachinger, warehouse reported several issues with the delivery. The pallets were labeled with the wrong number. The Datalogger of the first truck was sent in the second truck and vice versa. Batch details and quantities on packing list were not matching what has been delivered. "/>
    <s v="Supplier was asked to clarify the discrepancy on the packing list but even after several conversations I havent received clear explanation what have gone wrong on their side and how they are tracking their batches and supplies. This was the first time such issue with Aguettant occured. "/>
    <n v="0"/>
    <s v="Warehouse has been asked to take photos and mark down details about issues they notice so we can follow up with the supplier more closely. At the same time supplier has been informed about issues reported. As they could not explain why problem happened properly we advise to be more precise for the next deliveries and we proceeded with quantities and batches information as per what warehouse reported. "/>
    <s v="N"/>
    <s v="N/A"/>
    <s v="N/A"/>
    <s v="30/08/2024"/>
  </r>
  <r>
    <s v="24-283"/>
    <x v="0"/>
    <x v="36"/>
    <s v="mzivkovic /Eraaber"/>
    <s v="Vienna"/>
    <x v="1"/>
    <s v="EIPICO"/>
    <s v="UNDP"/>
    <s v="20240204"/>
    <x v="0"/>
    <x v="5"/>
    <s v="Datalogger showed temperature excursion in transit to Schachinger. The temperature was showing fluctuations from 4.6 to 39 degrees Celcius"/>
    <s v="Products packed in cartons without any passive packaging material._x000a_This is caused by misunderstanding of wat &quot;validated box&quot; mean, by EIPICO. The topic has been clarified_x000a_"/>
    <n v="0"/>
    <s v="Complaint addressed to EIPICO, Stability reports have been received. Products good to use."/>
    <s v="N"/>
    <s v="N/A"/>
    <s v="N/A"/>
    <d v="2024-05-29T00:00:00"/>
  </r>
  <r>
    <s v="24-284"/>
    <x v="0"/>
    <x v="37"/>
    <s v="lraltcheff"/>
    <s v="Vienna"/>
    <x v="0"/>
    <s v="BMAW"/>
    <s v="IAEA"/>
    <n v="20222374"/>
    <x v="1"/>
    <x v="4"/>
    <s v="Information in the end user certificate for Dual Use item was wrongly  entered  when applying  for export permit"/>
    <s v="Amex focal point copy paste wrong item quantity and details  by mistake"/>
    <s v="N/A"/>
    <s v="Never apply for Dual Use Export license with incomplete EUC"/>
    <s v="N"/>
    <s v="N/A"/>
    <s v="N/A"/>
    <d v="2024-04-01T00:00:00"/>
  </r>
  <r>
    <s v="24-285"/>
    <x v="0"/>
    <x v="38"/>
    <s v="lraltcheff"/>
    <s v="Vienna"/>
    <x v="0"/>
    <s v="BMAW"/>
    <s v="IAEA"/>
    <n v="20230382"/>
    <x v="1"/>
    <x v="4"/>
    <s v="Correct serial numbersfor Dual User item was not provided 5 days prior to export as requested by the Austrian Authority."/>
    <s v="Amex focal point provided wronf serial number  by mistake at first, then informed the authortiy about the correct numbers,  however the goods were ready to be exported the next day"/>
    <s v="N/A"/>
    <s v="Do share with BMAW the serial number(s)/LOT or Baatch number minimum 5 days prior issuance of the EX1 documents."/>
    <s v="N"/>
    <s v="N/A"/>
    <s v="N/A"/>
    <d v="2024-04-01T00:00:00"/>
  </r>
  <r>
    <s v="24-286"/>
    <x v="2"/>
    <x v="39"/>
    <s v="ssu"/>
    <s v="Vienna"/>
    <x v="0"/>
    <s v="Bio-Rad"/>
    <s v="International Medical Corps."/>
    <n v="20240354"/>
    <x v="0"/>
    <x v="2"/>
    <s v="Bio- Rad issued safety notice for item ID-DiaCell I-II-III, 004310 and LISS/Coombs, 004016, they are reported to give weak positive reaction results in Indirect Antiglobulin Testing (IAT) for QC, donor, and patient samples, which may lead to further investigation prior to any transfusion and investigation of uninterpretable screening results may cause potential delay in the reporting of the result."/>
    <s v=" Bio-Rad is till investigating the root cause of this issue and the_x000a_corrective measures to address them."/>
    <s v="N/A"/>
    <s v="Customers have been informed and the safety notice has been shared"/>
    <s v="N"/>
    <s v="N/A"/>
    <s v="N/A"/>
    <d v="2024-07-12T00:00:00"/>
  </r>
  <r>
    <s v="24-287"/>
    <x v="3"/>
    <x v="40"/>
    <m/>
    <s v="Vienna"/>
    <x v="2"/>
    <m/>
    <m/>
    <m/>
    <x v="5"/>
    <x v="8"/>
    <m/>
    <m/>
    <m/>
    <m/>
    <m/>
    <m/>
    <m/>
    <m/>
  </r>
  <r>
    <s v="24-288"/>
    <x v="1"/>
    <x v="41"/>
    <s v="amalajev"/>
    <s v="Vienna"/>
    <x v="0"/>
    <s v="AmraTek"/>
    <s v="UNDP"/>
    <n v="20220453"/>
    <x v="0"/>
    <x v="3"/>
    <s v="The end user in TKM was waiting for the item since November 2022 as the supplier was not able to provide the item due to various reasons. Therefore Amex would always made a delivery promise that was never met. The item(protocol) was needed for the already delivered piece of equipment, for installation purposes. Amex had to deal with a poor communication with the supplier as the supplier was unresponsive to phone,email or whatsapp messages. "/>
    <s v="The supplier has provided various justifications for the missing item (protocol/software that is needed for a machine to work) but has been unresponsive to emails/calls, contributing to confusion. One of the reasons for a delay was a US sanctions on Russia. Issue falls outside the scope of Amex responsibilities."/>
    <s v="1.243 EUR"/>
    <s v="Raised this issue with the supplier many times, but no improvement. Amex had to directly address the manufacturer of the items in order to solve the issue and get the missing item faster from the supplier. Amex covered the costs of the item as it was delayed and provided it to UNDP free of charge. An offical statement was provided to UNDP (with a cause of delay and planned action) in order to solve the issue."/>
    <s v="N"/>
    <s v="N/A"/>
    <s v="N/A"/>
    <d v="2024-06-25T00:00:00"/>
  </r>
  <r>
    <s v="24-289"/>
    <x v="0"/>
    <x v="42"/>
    <s v="ebessenyeiova"/>
    <s v="Vienna"/>
    <x v="1"/>
    <s v="Aguettant"/>
    <s v="UNDP"/>
    <n v="20222602"/>
    <x v="0"/>
    <x v="4"/>
    <s v="Warehouse reported missing data logger in the inbound of ambient temperature part of the delivery. "/>
    <s v="Supplier were not aware on the missing DL and declare it had to be the human error on their side. "/>
    <n v="0"/>
    <s v="Checking with supplier why DL was not included in the shipment. We have a temperature reading from the truck, therefore goods can be released to market."/>
    <s v="N"/>
    <s v="N/A"/>
    <s v="N/A"/>
    <s v="30/08/2024"/>
  </r>
  <r>
    <s v="24-290"/>
    <x v="1"/>
    <x v="43"/>
    <s v="emangenje / lristic"/>
    <s v="Vienna"/>
    <x v="1"/>
    <s v="Purepharma, Macleods, Crescent"/>
    <s v="MAM"/>
    <n v="202301636"/>
    <x v="2"/>
    <x v="1"/>
    <s v="On 17.05.2024. the customer sent an email with the following complaint: _x000a__x000a_Phytomenadion injection: 12 packs (5 vials) missing_x000a_Potassium chloride injection: 18 packs (20 vials) missing. _x000a_Metronidazole tablets: Wrong item sent. Labeling was wrong on the box, labeled as Potassium chloride, Metronidazole packed."/>
    <s v="Warehouse Head Quality Manager provided the official letter with statement on ongoing CAPA investigation under number 1225. The CAPA includes workshop in three phases. The workshop finished phase 1 (analysis of status quo), is now at a phase 2 (definition of requirement) and about to enter phase 3 (optimising/implementation). The measures for optimising the order processing will be part of the CAPA 1225. Therefore, the CAPA is put on hold to wait for the results of the workshop."/>
    <n v="844.07999999999993"/>
    <s v="N/A"/>
    <s v="Y"/>
    <s v="Warehouse check: _x000a_Confirm if the missing products were included in the shipment or left in the warehouse.  _x000a_Request an explanation from personnel if items are found in the warehouse._x000a_Freight forwarder check:_x000a_If items were shipped, gather and review shipment documentation. _x000a_Contact the freight forwarder to investigate any shipping issues._x000a_Labeling investigation - Metronidazole labeled as Potassium chloride Injection:_x000a_Discuss with warehouse personnel the incorrect labeling of Metronidazole as Potassium Chloride. _x000a_Determine if labeling guidelines were followed._x000a_AMEX OP check: _x000a_Check OP instructions for warehouse personnel."/>
    <s v="Warehouse Head Quality Manager is conducting a workshop. The workshop finished phase 1 (analysis of status quo), is now at a phase 2 (definition of requirement) and about to enter phase 3 (optimising/implementation)."/>
    <s v="ongoing"/>
  </r>
  <r>
    <s v="24-291"/>
    <x v="4"/>
    <x v="44"/>
    <s v="lristic"/>
    <s v="Vienna"/>
    <x v="1"/>
    <s v="GSK (ViiV Healthcare)"/>
    <s v="UNDP"/>
    <n v="20232506"/>
    <x v="0"/>
    <x v="2"/>
    <s v="28/06/2024: ViiV Healthcare has decided to voluntarily recall Retrovir IV batch KP7V. This recall has been initiated because the leaflet for this batch does not include the following latex allergy warning: _x000a__x000a_‘Latex allergy:  _x000a_The rubber stopper of the Retrovir I.V. for infusion vials contains dry natural latex rubber that has the potential to cause allergic reactions in latex sensitive individuals.’ "/>
    <s v="Supplier provided investigational report."/>
    <n v="0"/>
    <s v="On 28/06/2024 SOFIA was checked and it was confirmed no remaining quantites of this product on stock. _x000a_On 28/06/2024 the client (UNDP Iran) was informed on the recall. On 30/06/2024 the UNDP Iran confirmed whole quantity (264 packs) was quarantined in their central warehouse. _x000a_On 01/07/2024 email was sent to Schachinger Warehouse QM to confirm if any quantities f the product remained in the warehouse. _x000a_At the moment recalled product is with Iran customs and is waiting for additional confirmation by supplier to be shipped back to supplier's premises._x000a_On 08/11/2024, the client shipped recalled goods back to the supplier._x000a_On the same date, the recalled goods arrived at London Heathrow Airport. On 06-12-2024, the supplier cleared and took over the goods."/>
    <s v="N"/>
    <s v="N/A"/>
    <s v="N/A"/>
    <d v="2024-12-06T00:00:00"/>
  </r>
  <r>
    <s v="24-292"/>
    <x v="2"/>
    <x v="45"/>
    <s v="ralghazawi"/>
    <s v="Vienna"/>
    <x v="0"/>
    <s v="BD"/>
    <s v="N/A"/>
    <s v="No cstuomers were affected"/>
    <x v="0"/>
    <x v="2"/>
    <s v="BD previously provided a field action notification regarding BD BBL™ Sensi-Disc™ to inform users to cease use for Haemophilus testing. Since then, BD has conducted a root cause investigation and has_x000a_determined that AST testing can be reinstated with additional instructions:_x000a_“Laboratories should perform and QC results should be acceptable for each day that Haemophilus spp._x000a_testing is performed. If zone diameter measurements are difficult to interpret, another testing method_x000a_should be used for Haemophilus spp”.                                                                                                  -Users who have received BD BBL™ Sensi-Disc™ labelled with the sticker stating, “This product should not be used for the semi-quantitative in vitro susceptibility testing of Haemophilus influenzae” should not use the product for Haemophilus testing._x000a_• If your product does not contain the sticker, then the product can be used for AST testing in line with_x000a_the updated instructions for use."/>
    <s v="Manufacturing defect "/>
    <n v="0"/>
    <s v="No actions were taken as no customers were affected by this safety notice. "/>
    <s v="N"/>
    <s v="N/A"/>
    <s v="N/A"/>
    <d v="2024-07-16T00:00:00"/>
  </r>
  <r>
    <s v="24-293"/>
    <x v="1"/>
    <x v="46"/>
    <s v="nilic"/>
    <s v="Vienna"/>
    <x v="1"/>
    <s v="Schachinger assembled kit"/>
    <s v="ICRC"/>
    <s v="20212119-14"/>
    <x v="1"/>
    <x v="4"/>
    <s v="30x 20212119-14-02:  for this batch, box 2/2 is labelled with the wrong batch number (20212119-14-01 instead of 20212119-14-02)"/>
    <s v="The OP specialist assigned the wrong batch number for this order. This mistake occurred because the specialist was previously accustomed to working with different modular type kits, where each module is treated as a final item with its own batch number. For this order, box 2/2 contained only one batch of Povidone Iodine, leading the specialist to assign a single batch number to all 40 boxes marked 2/2."/>
    <n v="154.5"/>
    <s v="Correct labels sent to the client"/>
    <s v="Y"/>
    <s v="Preventative measures:_x000a__x000a_-_x0009_Optimize and redesign the SOP for the batch numbering system, ensuring it covers all types of kits and meets the diverse requirements of different customers, guaranteeing that the batch numbering system remains efficient, reliable, and fully compliant with industry standards._x000a__x000a_Corrective measure:_x000a__x000a_-_x0009_Credit note to be issued to the client."/>
    <s v="Preventative measures:_x000a__x000a_-_x0009_Optimize and redesign the SOP for the batch numbering system, ensuring it covers all types of kits and meets the diverse requirements of different customers, guaranteeing that the batch numbering system remains efficient, reliable, and fully compliant with industry standards._x000a__x000a_Corrective measure:_x000a__x000a_-_x0009_Credit note to be issued to the client."/>
    <d v="2024-07-15T00:00:00"/>
  </r>
  <r>
    <s v="24-294"/>
    <x v="1"/>
    <x v="47"/>
    <s v="satanassova"/>
    <s v="Vienna"/>
    <x v="0"/>
    <s v="Amratek"/>
    <s v="UNDP"/>
    <n v="20231947"/>
    <x v="3"/>
    <x v="7"/>
    <s v="On 01-Jul-2024, customer submitted following complaint: Macopharma blood bags cartons, and inner packing arrived damaged to Ashgabat - they have been exposed to water. Pictures and videos are provided. UNDP Turkmenistan requested a statement from the manufacturer if the goods are safe to be used, or if they have to be replaced. 66 blood bags are damaged."/>
    <s v="Root cause - during tranportation. Freight forwarder responsibility (FF of UNDP).  Replacement cost  13 000 EUR should be covered by FF / insurance. Out of Amex scope."/>
    <n v="0"/>
    <s v="OP specialist informed and requested from  supplier Amratek to obtain the feedback from the manufactutrer Macopharma. The manufacturer and suppleir confirmed that the goods were delivered undamaged to AMEX in Austria._x000a_The forwarding agent of UNDP, Scanglobal, confirmed that the goods have been damaged only after delivery to Turkmenistan and rejected liability for insurance compensation to UNDP, because the damage was not reported within 7 days after delivery. _x000a_A new PO from UNDP was received and processed and delivered for the damaged quantity."/>
    <s v="N"/>
    <s v="N/A"/>
    <s v="N/A"/>
    <d v="2024-12-03T00:00:00"/>
  </r>
  <r>
    <s v="24-295"/>
    <x v="4"/>
    <x v="48"/>
    <s v="lristic"/>
    <s v="Vienna"/>
    <x v="1"/>
    <s v="Tanner"/>
    <s v="UNPD"/>
    <s v="20240298"/>
    <x v="0"/>
    <x v="2"/>
    <s v="On 30-Jul-2024, OP specialist received information on the recall from Tanner. _x000a_Product details_x000a_Ciprofloxacin 0.3% O/S 2.5 ml_x000a_NDC 69315-0308-02_x000a_Batch no.  084A024_x000a__x000a_&quot;Due to patients are unable to get the product solution out of the bottle as the spike of the cap was lodged in the nozzle of product bottle.&quot;_x000a__x000a_The goods were still in transit. Supplier requested to quarantine them upon receipt. "/>
    <s v="The Investigational report requested from the supplier (wholesaler). "/>
    <n v="0"/>
    <s v="On 31-Jul-2024, OP Immediately forwarded the recall information to Quality Department._x000a_On the same date, the Quality Specialist informed warehouse to quarantin the goods upon receipt. _x000a_On 05-Sep-2024, the supplier's freight forwarder picked-up the recalled items."/>
    <s v="N"/>
    <s v="N/A"/>
    <s v="N/A"/>
    <d v="2024-09-05T00:00:00"/>
  </r>
  <r>
    <s v="24-296"/>
    <x v="0"/>
    <x v="25"/>
    <s v="emangenje"/>
    <s v="Vienna"/>
    <x v="1"/>
    <s v="Sanofi Pasteur, Purepharm"/>
    <s v="UNPD Uganda"/>
    <n v="20222606"/>
    <x v="1"/>
    <x v="3"/>
    <s v="Customer´S FF was delayed on collection day because batch review had not been done on some of items and also becasue they brought wrong truck to collect 2-8°C "/>
    <s v="For wrong truck- Customer´S FF misread product temperature requirements on packing list,                                                                                                                         Regarding absence of BR - AMEX personnel changes resulted in the batch review being missed , that is , OP in charge of the order handed over the shipping documents as ready for collection without having done the BR and this was missed until collection"/>
    <s v="                            -"/>
    <s v="FF arranged for goods to be collected in the correct temperature vehicle on the same day"/>
    <s v="N"/>
    <s v="N/A"/>
    <s v="N/A"/>
    <d v="2024-07-05T00:00:00"/>
  </r>
  <r>
    <s v="24-297"/>
    <x v="0"/>
    <x v="49"/>
    <s v="emangenje"/>
    <s v="Vienna"/>
    <x v="1"/>
    <s v="Purepharm"/>
    <s v="UNPD , MAM"/>
    <s v="20240215,  20240415  20240486  20240298   20240603"/>
    <x v="0"/>
    <x v="7"/>
    <s v="Data logger in the shipment was corrupted and could not be read"/>
    <s v="Supplier did not put a functioal data logger "/>
    <s v="                            -"/>
    <s v="Vehicle temperature log was used to chcek if there was any temperature deviation"/>
    <s v="N"/>
    <s v="N/A"/>
    <s v="N/A"/>
    <d v="2024-07-19T00:00:00"/>
  </r>
  <r>
    <s v="24-298"/>
    <x v="0"/>
    <x v="50"/>
    <s v="emangenje"/>
    <s v="Vienna"/>
    <x v="1"/>
    <s v="Chapper Healthcare"/>
    <s v="UNDP Cuba"/>
    <n v="20232572"/>
    <x v="1"/>
    <x v="3"/>
    <s v="Shipment collection was delayed due to absence of batch review certificate for one of the items on the packing list"/>
    <s v="OP error, batch review email  was deleted without being sent"/>
    <n v="240"/>
    <s v="The mistake was found and goods were collected and delivered "/>
    <s v="N"/>
    <s v="N/A"/>
    <s v="N/A"/>
    <d v="2024-07-22T00:00:00"/>
  </r>
  <r>
    <s v="24-299"/>
    <x v="1"/>
    <x v="51"/>
    <s v="emangenje"/>
    <s v="Vienna"/>
    <x v="1"/>
    <s v="Purepharm"/>
    <s v="UNPD Uganda"/>
    <n v="20222606"/>
    <x v="4"/>
    <x v="1"/>
    <s v="Customer shared a discrepancy report showing 13 packs of Diclofenac Sodium Tablets 50mg were missing from the delivered consignment: However, it had been communicated to customer that AMEX could only procure 157 of the 170 packs ordered due to shortanges on the market. The customer had not updated their system accrordingly. "/>
    <s v="Customer failure to update their system based on information from AMEX"/>
    <s v="  -"/>
    <s v="Email evidence of the communication regarding the quantities was shared with the customer."/>
    <s v="N"/>
    <s v="N/A"/>
    <s v="N/A"/>
    <d v="2024-07-25T00:00:00"/>
  </r>
  <r>
    <s v="24-300"/>
    <x v="0"/>
    <x v="50"/>
    <s v="emangenje"/>
    <s v="Vienna"/>
    <x v="1"/>
    <s v="Purepharm"/>
    <s v="UNPD "/>
    <n v="20240298"/>
    <x v="0"/>
    <x v="6"/>
    <s v="AMEX ordered 300 packs of Rusvastatin 20 mg manufactured by TEVA from Purepharm, but Purepharm mistakenly supplied Rusvastatin manufactured by Crescent. "/>
    <s v="Errors at supplier´s warehouse"/>
    <s v="  -"/>
    <s v="Supplier was alerted and asked to collect the wrong item and supply the correct product"/>
    <s v="N"/>
    <s v="N/A"/>
    <s v="N/A"/>
    <d v="2024-09-10T00:00:00"/>
  </r>
  <r>
    <s v="24-301"/>
    <x v="0"/>
    <x v="50"/>
    <s v="emangenje"/>
    <s v="Vienna"/>
    <x v="1"/>
    <s v="Purepharm"/>
    <s v="UNPD "/>
    <n v="20240486"/>
    <x v="0"/>
    <x v="6"/>
    <s v="Supplier delivered Loratadine 5mg/5ml, 100ml with wrong expiry date. Another expiry date was agreed upfront with the supplier. "/>
    <s v="Errors at supplier´s warehouse"/>
    <s v="  -"/>
    <s v="Supplier was asked to deliver the correct product"/>
    <s v="N"/>
    <s v="N/A"/>
    <s v="N/A"/>
    <d v="2024-07-30T00:00:00"/>
  </r>
  <r>
    <s v="24-302"/>
    <x v="0"/>
    <x v="48"/>
    <s v="emangenje"/>
    <s v="Vienna"/>
    <x v="1"/>
    <s v="Kaplan"/>
    <s v="Medical Action Myanmar"/>
    <s v="20240648 and 20240456 "/>
    <x v="3"/>
    <x v="5"/>
    <s v="The data logger report from a shipment from Kalan showed a temperature deviation of up to 32.6°C  for over 24 hours during the transit of the products "/>
    <s v="According to FF , the airline did not properly store the consignment "/>
    <n v="0"/>
    <s v="FF was asked to share information on the stability of the product at up to 32.6°C"/>
    <s v="N"/>
    <s v="N/A"/>
    <s v="N/A"/>
    <d v="2024-08-14T00:00:00"/>
  </r>
  <r>
    <s v="24-303"/>
    <x v="0"/>
    <x v="52"/>
    <s v="emangenje"/>
    <s v="Vienna"/>
    <x v="1"/>
    <s v=" Macleods "/>
    <s v="UNPD"/>
    <n v="20240215"/>
    <x v="4"/>
    <x v="6"/>
    <s v="Customer ordered Artemether/Lumefantrine:TabDisp,20/120mg for infants instead of Artemether/Lumefantrine:TabDisp,20/120mg for adults. Customer requested to cancel the line. Current financial impact for procurement of the infant version is 22,307 €. The adult version is significantly cheaper and AMEX offered it to UNDP with a significantly higher margin to level out the financial impact AMEX is facing since UNDP ordered the wrong item (infant version). Currently AMEX is waiting to receive the PO for the adult version. Once this will be done, the overall financial impact will be indicated in the tracker.  "/>
    <s v="Administrative error from the customer´s end "/>
    <m/>
    <s v="The customer requested an offer for the adult version of artemether/Lumefantrine:TabDisp,20/120mg. This was shared and the customer is yet to share PO. The customer has additionally requested to arrange a staggered delivery of the adult version till May 2025.   - This is still ongoing, therefore costs for AMEX potentially reduce again in case they order the alternative item."/>
    <s v="N"/>
    <s v="N/A"/>
    <s v="N/A"/>
    <s v="ongoing"/>
  </r>
  <r>
    <s v="24-304"/>
    <x v="0"/>
    <x v="51"/>
    <s v="emangenje"/>
    <s v="Vienna"/>
    <x v="1"/>
    <s v="Tanner, Purepharm"/>
    <s v="UNPD Cyprus"/>
    <n v="20240415"/>
    <x v="1"/>
    <x v="4"/>
    <s v="AMEX bid and was awarded order for the customer. At OP stage , AMEX realised that we can not supply to Cyprus due to regulatory issues because the end destination is in the EU.  "/>
    <s v="The regulators issue was  missed at Sales stage"/>
    <n v="1285"/>
    <s v="The position was communicated to the customer , customer accepted cancellation of PO"/>
    <s v="N"/>
    <s v="N/A"/>
    <s v="N/A"/>
    <d v="2024-07-17T00:00:00"/>
  </r>
  <r>
    <s v="24-305"/>
    <x v="0"/>
    <x v="53"/>
    <s v="emangenje"/>
    <s v="Vienna"/>
    <x v="1"/>
    <s v="Purepharm; Macleods, Tridem Pharma"/>
    <s v="UNPD  Central Africa Republic "/>
    <n v="20240215"/>
    <x v="0"/>
    <x v="3"/>
    <s v="The shipment is delayed  due to failure of Purepharm to deliver the items on time, AMEX personnel changes and warehouse delays also contributed to the delay."/>
    <s v="Long delays in delivery from supplier "/>
    <s v="-"/>
    <s v="OP made all efforts to complete the order in little time. The shippings documents were sent to the customer on 22 Oct 24. The cargo will be shipped on 25 November"/>
    <s v="N"/>
    <s v="N/A"/>
    <s v="N/A"/>
    <s v="ongoing"/>
  </r>
  <r>
    <s v="24-306"/>
    <x v="0"/>
    <x v="53"/>
    <s v="emangenje"/>
    <s v="Vienna"/>
    <x v="1"/>
    <s v="Purepharm"/>
    <s v="UNPD Sudan"/>
    <n v="20240603"/>
    <x v="0"/>
    <x v="3"/>
    <s v="The shipment is delayed  due to failure of Purepharm to deliver the items on time, AMEX personnel changes and warehouse delays also contributed to the delay."/>
    <s v="Long delays in delivery from supplier "/>
    <s v="-"/>
    <s v="OP made all efforts to complete the order in little time"/>
    <s v="N"/>
    <s v="N/A"/>
    <s v="N/A"/>
    <d v="2024-09-13T00:00:00"/>
  </r>
  <r>
    <s v="24-307"/>
    <x v="0"/>
    <x v="53"/>
    <s v="emangenje"/>
    <s v="Vienna"/>
    <x v="1"/>
    <s v="Purepharm"/>
    <s v="UNPD Lebanon"/>
    <n v="20240486"/>
    <x v="0"/>
    <x v="3"/>
    <s v="The shipment is delayed  due to failure of Purepharm to deliver the items on time,  warehouse delays also contributed to the elay."/>
    <s v="Long delays in delivery from supplier "/>
    <s v="-"/>
    <s v="OP made all efforts to complete the order in little time. The shipment readiness was announced to the customer on 28 Oct, but the actual shipment was delayed further due to the current situation in Leabanon. The customer agreed to wait till the beginning of December"/>
    <s v="N"/>
    <s v="N/A"/>
    <s v="N/A"/>
    <s v="ongoing"/>
  </r>
  <r>
    <s v="24-308"/>
    <x v="0"/>
    <x v="53"/>
    <s v="emangenje"/>
    <s v="Vienna"/>
    <x v="1"/>
    <s v="Purepharm"/>
    <s v="UNPD Somalia"/>
    <n v="20240445"/>
    <x v="0"/>
    <x v="3"/>
    <s v="The shipment is delayed  due to failure of Purepharm to deliver the items on time. "/>
    <s v="Long delays in delivery from supplier "/>
    <s v="-"/>
    <s v="OP made all efforts to complete the order in little time. The shipment was delayed further, as the customer has not yet provided import permits for the controlled drug (Tramadol)  in the shipment."/>
    <s v="N"/>
    <s v="N/A"/>
    <s v="N/A"/>
    <s v="ongoing"/>
  </r>
  <r>
    <s v="24-309"/>
    <x v="0"/>
    <x v="53"/>
    <s v="emangenje"/>
    <s v="Vienna"/>
    <x v="1"/>
    <s v="Purepharm"/>
    <s v="UNPD Somalia"/>
    <n v="20240994"/>
    <x v="0"/>
    <x v="3"/>
    <s v="The shipment is delayed  due to failure of Purepharm to deliver the items on time. "/>
    <s v="Long delays in delivery from supplier "/>
    <s v="-"/>
    <s v="OP made all efforts to complete the order in little time"/>
    <s v="N"/>
    <s v="N"/>
    <s v="N/A"/>
    <d v="2024-08-28T00:00:00"/>
  </r>
  <r>
    <s v="24-310"/>
    <x v="0"/>
    <x v="54"/>
    <s v="emangenje"/>
    <s v="Vienna"/>
    <x v="1"/>
    <s v="Purepharm"/>
    <s v="UNDP Pakistan"/>
    <n v="20232993"/>
    <x v="2"/>
    <x v="1"/>
    <s v="Despite confirming quantities during repacking, warehouse advised during the investigation of DCR Tracker Number 24-290   they discovered that 97 packs of  Metronidazole 400mg was missing from the shipment "/>
    <s v="Warehouse  errors"/>
    <s v="-"/>
    <s v="This issue is part of investigation under DCR Tracker Number 24-290 . Customer requested to have the packs replaced under a later shipment "/>
    <s v="N"/>
    <s v="N"/>
    <s v="N/A"/>
    <d v="2024-09-24T00:00:00"/>
  </r>
  <r>
    <s v="24-311"/>
    <x v="1"/>
    <x v="55"/>
    <s v="emangenje"/>
    <s v="Vienna"/>
    <x v="1"/>
    <s v="Purepharm"/>
    <s v="UNDP Cuba"/>
    <n v="20232572"/>
    <x v="2"/>
    <x v="1"/>
    <s v="20 packs of Daraprim 25mg were missing from a shipment to UNDP Cuba. The customer received 930 packs instead of 950. 1 data logger report in 1 pallet showed  a temperature deviation of up to 39°C. This affected 243 packs of Daraprim 25mg. The manufacturer stated that the goods were no longer good to use and this was communicated to the customer. AMEX will be replacing 263 packs of daraprim 25mg to UNDP Cuba"/>
    <s v="Warehouse  errors"/>
    <n v="9555.43"/>
    <s v="The warehouse disputes sending lower quantity as its system shows that it released the correct quantity. The warehouse acknowledged that they wrongly placed the data logger hence the temperature deviation"/>
    <s v="N"/>
    <s v="N"/>
    <s v="N/A"/>
    <d v="2024-09-04T00:00:00"/>
  </r>
  <r>
    <s v="24-312"/>
    <x v="0"/>
    <x v="56"/>
    <s v="emangenje"/>
    <s v="Vienna"/>
    <x v="1"/>
    <s v="Purepharm"/>
    <s v="UNPD Lebanon"/>
    <n v="20230486"/>
    <x v="2"/>
    <x v="1"/>
    <s v="In an urgent shipment to Lebanon, after outbound warehouse notified AMEX that 20 packs of 20 packs of 37848-36301/0003 Betamethasone sodium phosphate 0.1% ear/eye/nose-drops,10 ml (Betnesol eye/ear_x000a_drops 0.1%) were missing from the consignment despite sharing packing dimensions inclduing the item. It was too late to serach so the goods were shipped without the items. Warehouse then notified that they forgot to give the driver seconds set of shipping documents and another 30 packs of 30 packs of 37848-30322/0052 FLUTICASONE PROPIONATE spray, 50 mcg metered were also missing form the consignment. "/>
    <s v="Schachinger misplaced the items and only found them after the delivery have been made"/>
    <s v="-"/>
    <s v="The warehouse has been  requested to investigate what happened and to locate the missing items so that they can be shipped to the customer."/>
    <s v="N"/>
    <s v="N"/>
    <s v="N/A"/>
    <d v="2024-09-11T00:00:00"/>
  </r>
  <r>
    <s v="24-313"/>
    <x v="0"/>
    <x v="55"/>
    <s v="apodkopaev"/>
    <s v="Vienna"/>
    <x v="1"/>
    <s v="Sanofi"/>
    <s v="MONUSCO Uganda"/>
    <n v="20241277"/>
    <x v="0"/>
    <x v="7"/>
    <s v="The secondary package of one of the boxes was damaged, although the primary package appeared intact. The warehouse claims the product was delivered already damaged. Supplier was asked to investigate"/>
    <s v="The supplier confirmed the damage was inflicted at their facilities."/>
    <s v="19,00"/>
    <s v="Supplier offered to replace the damaged item or to issue a credit note"/>
    <s v="N"/>
    <s v="N/A"/>
    <s v="N/A"/>
    <d v="2024-08-19T00:00:00"/>
  </r>
  <r>
    <s v="24-314"/>
    <x v="0"/>
    <x v="57"/>
    <s v="apodkopaev"/>
    <s v="Vienna"/>
    <x v="1"/>
    <s v="MA Pharmaceuticals"/>
    <s v="UNPD HQ"/>
    <n v="20241164"/>
    <x v="2"/>
    <x v="4"/>
    <s v="The suppliers packing list had the expiry date different from the date on the medicine packages, but was still signed by the warehouse without advising us about this discrepancy. The supplier was asked to provide the corrected packing list."/>
    <s v="Warehouse error. "/>
    <s v="-"/>
    <s v="The mistake was brought to the attention of the warehouse staff to ensure it does not occur again"/>
    <s v="N"/>
    <s v="N/A"/>
    <s v="N/A"/>
    <d v="2024-08-27T00:00:00"/>
  </r>
  <r>
    <s v="24-315"/>
    <x v="0"/>
    <x v="58"/>
    <s v="apodkopaev"/>
    <s v="Vienna"/>
    <x v="1"/>
    <s v="AMEX stock"/>
    <s v="UNDP Fiji"/>
    <n v="20241701"/>
    <x v="2"/>
    <x v="3"/>
    <s v="Responsible OP sent an export dispatch to warehouse and notified FF about pick up and custom clearance. Warehouse advised that they cannot find the project file and have to wait until next week when the responsible person is back in the office. UPD - Responsible OP made the mistake of sending the PL with the dispatch order and then issuing a new PL for the pick-up."/>
    <s v="OP error, insufficient training provided beforehand"/>
    <s v="-"/>
    <s v="The responsible person was provided with further job trainings to avoid such mistakes in the future"/>
    <s v="N"/>
    <s v="N/A"/>
    <s v="N/A"/>
    <d v="2024-08-21T00:00:00"/>
  </r>
  <r>
    <s v="24-316"/>
    <x v="1"/>
    <x v="46"/>
    <s v="mbisercic"/>
    <s v="Vienna"/>
    <x v="0"/>
    <s v="Truscare, BD"/>
    <s v="MAUL"/>
    <n v="20222414"/>
    <x v="0"/>
    <x v="4"/>
    <s v="_x000a_On 07/08/2024, FHI360 came back to Amex regarding two purchase orders with MAUL:_x000a_1._x0009_MAUL-USAID-MED-02-0103-31-01-03, concerning Bouffant Cap, Latex-Free, White: 56 packs of 10,000, where Amex had initially communicated batch Number YH1351 for 56 packs. Upon delivery, MAUL found that the actual batch number was 20240215-02 and asked for a clarification. _x000a_2._x0009_MAUL-USAID-MED-02-0103-31-01-04, concerning IV Catheter 24G, 1.9mm Sterile, w/ Inj. Port &amp; Stopper for 1 carton of 500 pieces each, where Amex had initially communicated batch number 3312378. Upon delivery, MAUL found that the actual batch number was 3340179 and asked for a clarification. "/>
    <s v="_x000a_1._x0009_MAUL-USAID-MED-02-0103-31-01-03, As the product came from a Chinese supplier, Amex got translated CoA where translation was not done properly, stating that the Lot was YH1351. This was an omission from the supplier’s side and their translation team and happened due to a human error_x000a_2._x0009_MAUL-USAID-MED-02-0103-31-01-04, As Amex has regular procurement from BD, once a week they share a list of all items with batch numbers that are allocated to the order including  expiry dates: Amex should mark as “accepted” or “rejected”for each of those batches. For the batch 3312378, Amex marked respective field as accepted, however due to a glitch in their system, they delivered a different batch."/>
    <s v="N/A"/>
    <s v="N/A"/>
    <s v="Y"/>
    <s v="1._x0009_MAUL-USAID-MED-02-0103-31-01-03 - It was agreed with the manufacturer that the photos of the actual batch would be sent at the time of repacking, so Amex Operation team can cross check information present on document with actual information on the product that is to be sent_x000a_2._x0009_MAUL-USAID-MED-02-0103-31-01-04 – it was agreed with the manufacturer that their internal documents would be shared with Amex upfront, that confirm which batches were allocated to dispatch which will allow Operations team to cross check with the batches marked as “accepted”. "/>
    <s v="1._x0009_MAUL-USAID-MED-02-0103-31-01-03 - It was agreed with the manufacturer that the photos of the actual batch would be sent at the time of repacking, so Amex Operation team can cross check information present on document with actual information on the product that is to be sent_x000a_2._x0009_MAUL-USAID-MED-02-0103-31-01-04 – it was agreed with the manufacturer that their internal documents would be shared with Amex upfront, that confirm which batches were allocated to dispatch which will allow Operations team to cross check with the batches marked as “accepted”. "/>
    <d v="2024-08-21T00:00:00"/>
  </r>
  <r>
    <s v="24-317"/>
    <x v="0"/>
    <x v="56"/>
    <s v="rabdelhadi"/>
    <s v="Vienna"/>
    <x v="1"/>
    <s v="Purepharm"/>
    <s v="WHO Egypt "/>
    <n v="20240176"/>
    <x v="2"/>
    <x v="1"/>
    <s v="The warehouse has lost many items Clonidine tabs 0.025mg , Adrenaline 1mg/ml solution for inj, Hydrocortisone 100mg/ml and Gabapentin 100mg caps which is concidered a controlled drug in UK but not in Austria. The repacking took over a month to find the items and that caused delay to announce to the customer. "/>
    <s v="Warehouse errors - the pallet was misplaced and mixed with another order "/>
    <s v="-"/>
    <s v="The warehouse has been  requested to investigate what happened and to locate the missing items so that they can be shipped to the customer. In case of not finding the items, the warehouse was to be charged 8172.9 GBP to buy again the products. "/>
    <s v="N"/>
    <s v="NA"/>
    <s v="N"/>
    <d v="2024-08-28T00:00:00"/>
  </r>
  <r>
    <s v="24-318"/>
    <x v="1"/>
    <x v="59"/>
    <s v="rabdelhadi"/>
    <s v="Vienna"/>
    <x v="1"/>
    <s v="Tanner "/>
    <s v="MSF France"/>
    <s v="20221035-15"/>
    <x v="0"/>
    <x v="4"/>
    <s v="Tanner has shipped in plastic pallets rather than wooden pallets without informing AMEX. The shipment was direct shipment from Tanner to MSF"/>
    <s v="Pallet type was not doubled checked before the shipment approval _x000a_"/>
    <s v="-"/>
    <s v="An investigation with the supplier had place. It was mentioned that these pallets were provided by the manifacturer and currently in use for export as they are less likely to break. "/>
    <s v="N"/>
    <s v="NA"/>
    <s v="N"/>
    <d v="2024-08-28T00:00:00"/>
  </r>
  <r>
    <s v="24-319"/>
    <x v="0"/>
    <x v="60"/>
    <s v="apodkopaev"/>
    <s v="Vienna"/>
    <x v="1"/>
    <s v="Purepharm"/>
    <s v="UNPD Uganda"/>
    <n v="20241277"/>
    <x v="0"/>
    <x v="4"/>
    <s v="The datalogger provided with the shipment showed that it was operated between 22 and 25 July, while the shipment took place in August. The supplier's responsible person advised that the current &quot;tempmate S1-PRO&quot; data logger will be discontinued and replaced with a superior model. OP reported several issues with loggers recently."/>
    <s v="Deviation occured due to a manufacturing issue of the datalogger."/>
    <s v="-"/>
    <s v="The supplier has not used this datalogger model since then"/>
    <s v="N"/>
    <s v="N/A"/>
    <s v="N/A"/>
    <d v="2024-08-12T00:00:00"/>
  </r>
  <r>
    <s v="24-320"/>
    <x v="0"/>
    <x v="61"/>
    <s v="apodkopaev"/>
    <s v="Vienna"/>
    <x v="0"/>
    <s v="ERBA "/>
    <s v="MSF Belgium"/>
    <s v="20201849-74"/>
    <x v="0"/>
    <x v="5"/>
    <s v="On 14 Augu we shipped ERBA reagents (2-8 C) in a polybox  from Cargo Partner. While in transit with DHL, the temperature came up from 8 to 13.1 during the last 13 hours of the transit "/>
    <s v="OP contacted manufacturer to confirm that the goods are stable. OP confirmed with CP that goods were packed in the respective polybox. Good were shipped via DHL.de and there is no direct point of contact at DHL which whom we can further investigate this deviation."/>
    <s v="-"/>
    <s v="None"/>
    <s v="N"/>
    <s v="N/A"/>
    <s v="N/A"/>
    <d v="2024-08-22T00:00:00"/>
  </r>
  <r>
    <s v="24-321"/>
    <x v="0"/>
    <x v="62"/>
    <s v="denzaru"/>
    <s v="Vienna"/>
    <x v="0"/>
    <s v="Arctiko"/>
    <s v="IAEA"/>
    <n v="20240237"/>
    <x v="0"/>
    <x v="7"/>
    <s v="2 out of 3 freezers were delivered to cargo partner damaged with outer packaging damnaged and some dents."/>
    <s v="Damage during delivery. Out of Amex scope."/>
    <n v="0"/>
    <s v="Damaged goods replaced (exchanged) by supplier."/>
    <s v="N"/>
    <s v="N/A"/>
    <s v="N/A"/>
    <d v="2024-08-29T00:00:00"/>
  </r>
  <r>
    <s v="24-322"/>
    <x v="0"/>
    <x v="63"/>
    <s v="emangenje"/>
    <s v="Vienna"/>
    <x v="1"/>
    <s v="Purepharm"/>
    <s v="UNPD"/>
    <n v="20240603"/>
    <x v="0"/>
    <x v="6"/>
    <s v="AMEX ordered 80 packs of Glimepride with expiry 31.10.2025. Supplier delivered 78 packs with correct expiry and 2 packs with wrong expiry of 02.2025 but shipping documents showed all 8ß packs as one batch with 31.202.2025 expiry "/>
    <s v="Supplier warehouse error"/>
    <s v="-"/>
    <s v="Supplier was alerted and correct packs were sent"/>
    <s v="N"/>
    <s v="N"/>
    <s v="N/A"/>
    <d v="2024-09-20T00:00:00"/>
  </r>
  <r>
    <s v="24-323"/>
    <x v="1"/>
    <x v="64"/>
    <s v="eraaber"/>
    <s v="Vienna"/>
    <x v="1"/>
    <s v="Pfizer"/>
    <s v="UNDP"/>
    <n v="20241409"/>
    <x v="3"/>
    <x v="5"/>
    <s v="Responsible OP organized a keep cool transport with FF KN from Vienna to Ashgabat Airport (CPT). Flight was booked with respective temp. 2-8°C, but during the transit period there was a temperature deviation that occurred on September 09, 2024 and goods were exposed to storage conditions of up to +11.5 °C for 3 days 19 hours 30 minutes (total time). _x000a__x000a_For the second delivery (replacement of above mentioned products + additional quantitites, there was a temprature deviatoin in the warehouse of UPS(Pfizer). Dataloggers showed that temperature went down to +2°C for 1 day. There is the release letter from Pfizer Quality Team confirming that the second delivery is fine and products are good to use."/>
    <s v="ongoing_x000a_The primary root cause of the temperature excursion was exposure to ambient temperatures beyond the recommended range during critical stages of transit. Specifically:_x000a__x000a_Inadequate Temperature Control During Transit Phases:_x000a__x000a_During the build-up and loading stages at Frankfurt Airport, the shipment was exposed to ambient conditions where temperatures ranged between 19 and 29 degrees Celsius. The lack of a fully temperature-controlled environment during these phases allowed temperatures to exceed the critical threshold of 8 degrees Celsius._x000a_Extended time in ambient conditions during the handling and loading stages further exacerbated the temperature rise, leading to prolonged exposure above the acceptable temperature range._x000a__x000a_Environmental and Route-Specific Variables:_x000a__x000a_The transit route, involving multiple layovers, posed inherent environmental challenges, particularly during seasonal temperature peaks. Additionally, freight forwarder reliance on ambient warehouses and the lack of consistent temperature control during layovers increased vulnerability to excursions._x000a__x000a_Packaging Insufficiency for High-Risk Routes:_x000a__x000a_Standard packaging used for this shipment was not optimized for routes with variable external conditions, contributing to the inability to maintain stable internal temperatures throughout the shipment journey."/>
    <n v="17053"/>
    <s v="CAPA needed"/>
    <s v="Y"/>
    <s v="Corrective Actions:_x000a__x000a_1. Immediate Disposal and Replacement:_x000a__x000a_The affected goods were deemed unfit for use and the client was informed._x000a_Replacement goods (24 vials with an additional 27 vials as stock) were sourced and shipped directly to the customer to ensure continuity of supply._x000a__x000a_2. Training and Compliance Update:_x000a__x000a_The OP Team and warehouse staff received refresher training focused on strict compliance with packaging and temperature management instructions, ensuring all handling steps meet the specified requirements._x000a__x000a_Preventive Actions:_x000a__x000a_1. Validated Packaging Solutions for High-Risk Shipments:_x000a__x000a_AMEX has collaborated with validated box manufacturers to secure safer, temperature-controlled packaging options, suitable for diferent seasonal conditions._x000a_These validated packaging solutions will be kept in stock and designated for shipments with higher risks of temperature deviation._x000a__x000a_2. Enhanced Risk Assessment Process:_x000a__x000a_OP Specialists will continue to perform a detailed risk assessment for all shipments on routes known for temperature variability or logistical complexities._x000a_This assessment will evaluate temperature control risks at each transit point, allowing preemptive identification of shipments that require additional safeguards or specialized packaging._x000a__x000a_"/>
    <s v="The OP specialist requested stability confirmation from the manufacturer. On 23-Sep-2024 the manufacturer confirmed that medication is not good for use due to temperature deviation. On the same date, the OP specialist informed the customer that goods should be destroyed. _x000a__x000a_The OP specialist secured replacement goods (24vilas replacement + 27 vials as additional stock) and shipped them directly from supplier’s warehouse to the customer. The goods arrived on 05-Oct-2024. "/>
    <d v="2025-02-12T00:00:00"/>
  </r>
  <r>
    <s v="24-324"/>
    <x v="4"/>
    <x v="49"/>
    <s v="ravila"/>
    <s v="Vienna"/>
    <x v="0"/>
    <s v="Becton Dickinson"/>
    <s v="PAHO"/>
    <n v="20222385"/>
    <x v="0"/>
    <x v="2"/>
    <s v="Becton Dickinson shared a safety notice for product BD BACTEC™ MGIT™ 960 PZA Kit, as the batch supplied to AMEX for project 20222385 may intermittently produce falsely resistant results. _x000a_Item code: 245128_x000a_Batch: 3128412_x000a_MFG date: 11.05.2023_x000a_EXP date: 21.09.2024"/>
    <s v="out of AMEX scope, manufacturer related "/>
    <s v="TBD"/>
    <s v="PAHO was alerted on this and they will confirm if the end user used the faulty batch"/>
    <s v="N"/>
    <s v="N/A"/>
    <s v="N/A"/>
    <d v="2024-11-14T00:00:00"/>
  </r>
  <r>
    <s v="24-325"/>
    <x v="1"/>
    <x v="65"/>
    <s v="Ezand"/>
    <s v="Vienna"/>
    <x v="0"/>
    <s v="Liger Medical"/>
    <s v="MAUL"/>
    <n v="20232967"/>
    <x v="1"/>
    <x v="4"/>
    <s v="The customer MAUL received one shipment including probes, batteries and chargers, however they notified AMEX and FF beforehand to split the shipping documents for non-DG (probes, chargers) and DG goods (batteries)._x000a__x000a_On 03.10.2024 the customer MAUL filed a complaint and asked for CAPA report, as the undeclared batteries resulted in additional shipping costs for MAUL."/>
    <s v="Misunderstanding between MAUL (customer) and AMEX regarding splitting a shipment into DG and non-DG goods. It was not clearly communicated from MAUL that they also wanted a physical separation from the DG goods to the non-DG goods. Cargo was received as one shipment by the GW warehouse in the US. The whole cargo was stored with a single reference. MAUL requested AMEX to split the shipping documents, which was done by responsible OP, but it was not physically splitted as two seperate shipments, nor the warehouse was notified to split it. From the customers request to split the shipping documents, it was not clear for AMEX that also the goods needed to be physically shipped seperately. At later stage FF wanted to pick up only non-DG goods, but since all goods were stored with only one reference number, the warehouse handed over all goods (incl. DG goods). "/>
    <s v="Up to now no financial impact on AMEX"/>
    <s v="N/A"/>
    <s v="Y"/>
    <s v="Quality specialist and OP immediately initiated an investigation (04.10.2024), following was done:_x000a_1._x0009_The communication between MAUL and AMEX OP, between warehouse and FF and between OP and warehouse was reviewed_x000a_2._x0009_Root cause was identified_x000a_3._x0009_Immediate actions are not applicable, since cargo is already delivered._x000a_4._x0009_Preventive actions were identified "/>
    <s v="Immediate actions are not applicable, since cargo is already delivered.                                               Preventive actions in the future:_x000a_1._x0009_OP will clarify with the customer if separate shipment is required in case separate shipping documents will be requested._x000a_2._x0009_OP will use different pick-up references for splitted shipping documents and give clear instructions to the warehouse. "/>
    <d v="2024-10-15T00:00:00"/>
  </r>
  <r>
    <s v="24-326"/>
    <x v="0"/>
    <x v="66"/>
    <s v="icastro"/>
    <s v="Vienna"/>
    <x v="0"/>
    <s v="Szabo"/>
    <s v="WHO"/>
    <n v="20242276"/>
    <x v="1"/>
    <x v="5"/>
    <s v="Sales shared an internal document for this project that did not include temperature restrictions. During the OP process for shipping to CP, responsible OP was informed that the item requires a storage temperature of -80°C. Responsible OP was unaware that this temperature could not be maintained at CP until OP was informed by AMEX warehouse manager. The item can only be stored at -20°C for a maximum of 5 days, which compromises its reliability."/>
    <s v="The internal documentation did not clearly indicate the temperature restriction, and it's also uncertain whether this information was communicated to the Sales team. When the Operations Specialist received the Packing List with the temperature requirement noted, it did not raise a red flag—likely due to a lack of awareness that the warehouse has limitations in handling temperature-sensitive items for extended periods._x000a__x000a__x000a__x000a__x000a__x000a__x000a__x000a__x000a_"/>
    <s v="3,387.48"/>
    <s v="Sales should always double-check storage/shipping temperature with the supplier,  include storage restrictions in the internal documents and emphazise temperature restrictions during handover process. Moreover, it’s essential that both Sales and OP are fully aware of the temperature ranges that the warehouse can accommodate.  AMEX had to repurchase the goods, as the initial batch was not suitable for delivery to the customer. This issue was not the responsibility of the manufacturer."/>
    <s v="N"/>
    <s v="N/A"/>
    <s v="N/A"/>
    <d v="2025-04-10T00:00:00"/>
  </r>
  <r>
    <s v="24-327"/>
    <x v="0"/>
    <x v="67"/>
    <s v="kamann"/>
    <s v="Vienna"/>
    <x v="1"/>
    <s v="Sanofi, Novo Nordisk"/>
    <s v="UNRWA"/>
    <n v="20240126"/>
    <x v="4"/>
    <x v="5"/>
    <s v="Customer reported small temperature deviations, after they have received the shipment (2-8°C)"/>
    <s v="Datalogger reports show small temperature deviations only (+9,2°C), for a few hours."/>
    <n v="0"/>
    <s v="Shared datalogger reports with both suppliers.   Both confirmed that the goods are good to use"/>
    <s v="N"/>
    <s v="N/A"/>
    <s v="N/A"/>
    <d v="2024-10-24T00:00:00"/>
  </r>
  <r>
    <s v="24-328"/>
    <x v="0"/>
    <x v="68"/>
    <s v="satanassova"/>
    <s v="Vienna"/>
    <x v="0"/>
    <s v="COMEN"/>
    <s v="UNDP"/>
    <s v="20230704-3"/>
    <x v="0"/>
    <x v="0"/>
    <s v="During UNDP Belarus registration procedure for this case, which is in process since beginning of 2024, UNDP is checking each detail very acribic, and UNDP Belarus realized and requested to confirm the full warranty scope. Unfortunately, manufacturer Comen warranty including only replacement of spare parts at the time the offer has been submitted, but UNDP requires full warranty, which has to be covered by AMEX (engineer cost / repair service cost) which may occur during the warranty period. AMEX confirmed to UNDP by letter to cover also for repair service."/>
    <s v="UNDP RFQ was including service maintenance, while AMEX offered only 2 yrs. manufacturer warranty.  _x000a_The manufacturer Comen was not able to perform it fully because of the political situation in Belarus, but to provide only replacement of spare parts._x000a__x000a_"/>
    <n v="0"/>
    <s v="An internal training on the topic of Warranty will be conducted for UNDP BU operations and sales specialists. Training will be organized by Miria Raaber and Charlotte Bernard."/>
    <s v="N"/>
    <s v="N/A"/>
    <s v="N/A"/>
    <s v="ongoing (Training planned to be conducted by end of Q3)"/>
  </r>
  <r>
    <s v="24-329"/>
    <x v="0"/>
    <x v="69"/>
    <s v="apodkopaev"/>
    <s v="Vienna"/>
    <x v="1"/>
    <s v="KAPLAN"/>
    <s v="UNDP"/>
    <n v="20242134"/>
    <x v="3"/>
    <x v="5"/>
    <s v="Responsible OP person submitted the request for the batch review to quality team without pointing out the temperature excursion as per the datalogger readings. Quality team didn't see the temperature excursion either and issued the batch review certificate. The temperature excrusion was detected by Quality team when the goods were being repacked in the warehouse. _x000a_The temperature deviation occured on 15th October to 12 degrees and on 16th October to 14 degrees."/>
    <s v="The FF was requested to investigate the incident and advise on its causes. According to FF, the first temperature excursions occured on the 15th of October when the cargo was transferred between two aircrafts in Frankfurt airport. The second temperaute excursion occured on the 16th October during the transfer from the pharma warehouse to the FF's TCV truck. FF was requested to advise preventive measures to avoid such incidents in the future.  "/>
    <n v="0"/>
    <s v="The Quality Specialist has confirmed the stability and safety of the medicinal products despite the temperature deviation. The OP Lead will coordinate with the sales team to increase inbound expenses for shipments from the US, allowing the OP team to charge for validated boxes when necessary. These issues are more common during the winter months when temperatures are low."/>
    <s v="N"/>
    <s v="N/A"/>
    <s v="N/A"/>
    <d v="2024-11-07T00:00:00"/>
  </r>
  <r>
    <s v="24-330"/>
    <x v="1"/>
    <x v="70"/>
    <s v="jsanguino"/>
    <s v="Vienna"/>
    <x v="0"/>
    <s v="ERBA"/>
    <s v="MSF"/>
    <n v="20201849"/>
    <x v="3"/>
    <x v="5"/>
    <s v="During shipment freight forwarder was not able to mantain shared temperature of goods as there were variations on temperature during transit. "/>
    <s v="freezer in truck was not able to keep conditions during freight as there was a misconfiguration on refrigerated box"/>
    <n v="0"/>
    <s v="Operations specialist shared deviation with forwarder and requested CAPA report on refrigerated trucks and improvement on transport conditions "/>
    <s v="N"/>
    <s v="N/A"/>
    <s v="N/A"/>
    <d v="2024-11-11T00:00:00"/>
  </r>
  <r>
    <s v="24-331"/>
    <x v="0"/>
    <x v="71"/>
    <s v="ebessenyeiova"/>
    <s v="Vienna"/>
    <x v="1"/>
    <s v="Tanner"/>
    <s v="i+solutions"/>
    <n v="20241823"/>
    <x v="3"/>
    <x v="5"/>
    <s v="During the inbound shipment from supplier Tanner, temperature deviation has been recorded. Product in transit was Naloxone HYDROCHLORIDE spray 4 mg  in 0.1 mL and shipment has been booked as GDP 15-25 degrees shipment. Pallet has been wrapped in thermal blanket. During the transit temperature dropped to 12,6 degrees which lasted for several hours. We identified that the excursion happened during the flight itself. "/>
    <s v="Airplane has a lower compartment controlled by thermostatic heating, with optional cooling for the aft lower lobe. This aircraft is known for its strong temperature control in the lower deck during flight. However, at higher altitudes, temperatures can drop significantly, and the system may take some time to adjust and bring the temperature back under control. This can take several hours, particularly in extreme conditions. Thermal blankets are intended as a temporary solution, not a long-term one, especially for products with strict temperature tolerance."/>
    <n v="0"/>
    <s v="Freight forwarder has been contacted to provide explanation why the deviation happened and supplier to confirm if product can be used. Freight forwarder provided an explanation, based on which we should consider validated boxes instead of thermal blankets in the future. As per confirmation from the supplier, goods are good to be released for further use."/>
    <s v="N"/>
    <s v="N/A"/>
    <s v="N/A"/>
    <d v="2024-11-18T00:00:00"/>
  </r>
  <r>
    <s v="24-332"/>
    <x v="0"/>
    <x v="71"/>
    <s v="ebessenyeiova"/>
    <s v="Vienna"/>
    <x v="1"/>
    <s v="Rovi Biotech"/>
    <s v="UNICEF"/>
    <n v="20242470"/>
    <x v="1"/>
    <x v="4"/>
    <s v="During the inbound procedure KN customs agent noticed a discrepancy between supplier information on the import permit and invoice from supplier. On the import permit 103569994 supplier is stated to be Alloga UK, however, invoice is issued by Rovi Biotech. "/>
    <s v="As per our understanding supplier in the import permit application should be listed as per information on the packing list. Rovi Biotech works with warehouse Alloga UK which is issuing all packing lists. Therefore we have filled the application accordingly. However, as invoice is issued by the supplier who is selling the product, Rovi Biotech, there was a discrepancy between invoice, packing list and import permit. "/>
    <n v="0"/>
    <s v="KN customs department requested AMEX to provide explanation on official letterhead which was shared with suitable customs agent. This explanation has been accepted. "/>
    <s v="N"/>
    <s v="N/A"/>
    <s v="N/A"/>
    <d v="2024-11-11T00:00:00"/>
  </r>
  <r>
    <s v="24-333"/>
    <x v="1"/>
    <x v="72"/>
    <s v="ldulanto / ezand"/>
    <s v="Vienna"/>
    <x v="0"/>
    <s v="Chemi - Pharma"/>
    <s v="Medical Access Uganda"/>
    <n v="20232964"/>
    <x v="2"/>
    <x v="7"/>
    <s v="3 units of liquid Soap, 20L each, were damaged during the transport from Cargo Partner to Enttebe. The damage was caused due to the weight of the pallets stuck on the containers and by the poor lashing of the pallets. MAUL requested a CAPA report for this incident."/>
    <s v="1. According to CP, cargo was poorly wrapped when it arrived at CP_x000a_2. Therefore, AMEX double-checked with MAUL if they agree on re-packaging of the goods by AMEX warehouse and MAUL confirmed_x000a_3. CP re-packed and loaded the goods into the containers provided by MAUL’s FF_x000a_4. Cargo was stacked because a customer advised to consolidate 3 shipments into 3 containers (see email below)_x000a_5. Repacking by AMEX warehouse was done very well into plastic wrapping; however poor lashing of the cargo and stacking might have caused damage of the 3 soap jerrycans_x000a_6. AMEX shared a credit note of 71.07 USD for the damaged goods with MAUL"/>
    <n v="70"/>
    <s v="N/A"/>
    <s v="Y"/>
    <s v="Corrective actions:_x000a_1._x0009_AMEX shared a credit note of 71.07 USD for the damaged goods with MAUL_x000a__x000a_Preventive actions:_x000a_1. For future FCA deliveries to MAUL, AMEX OP will double-check stackability of cargo with the manufacturer and advise CP correctly on how to load the goods in the containers. _x000a_2. If repacking of cargo is needed again, AMEX will advise (via photo) with MAUL, if re-packed goods are stable for shipping_x000a_3. MAUL’s FF should implement a critical control point at pick-up of the goods from the warehouse, to check if goods are stable for shipping"/>
    <s v="Corrective actions:_x000a_1._x0009_AMEX shared a credit note of 71.07 USD for the damaged goods with MAUL_x000a__x000a_Preventive actions:_x000a_1. For future FCA deliveries to MAUL, AMEX OP will double-check stackability of cargo with the manufacturer and advise CP correctly on how to load the goods in the containers. _x000a_2. If repacking of cargo is needed again, AMEX will advise (via photo) with MAUL, if re-packed goods are stable for shipping_x000a_3. MAUL’s FF should implement a critical control point at pick-up of the goods from the warehouse, to check if goods are stable for shipping"/>
    <d v="2024-11-27T00:00:00"/>
  </r>
  <r>
    <s v="24-334"/>
    <x v="1"/>
    <x v="73"/>
    <s v="ldulanto / ezand"/>
    <s v="Vienna"/>
    <x v="0"/>
    <s v="Avonchem"/>
    <s v="Medical Access Uganda"/>
    <n v="20232964"/>
    <x v="0"/>
    <x v="4"/>
    <s v="The supplier shared a CoA stating a total shelf life of 24 months for the Sodium Hypoclorite, while on the packaging of the item the total shelf life was indicated with 18 months instead. MAUL requested a CAPA report for this incident."/>
    <s v="The supplier (Avonchem) experienced a mix-up with the information displayed on the CoA. This was an oversight on their part, caused by human error."/>
    <n v="0"/>
    <s v="N/A"/>
    <s v="Y"/>
    <s v="1. Corrective action: Amex contacted Avonchem regarding the discrepancy in the expiry date; Avonchem immediately fixed the mistake on the CoA and sent the updated CoA; Amex shared the updated CoA with MAUL; _x000a_2._x0009_Preventive action: It was agreed with the manufacturer that the photos of the actual batch would be sent at the time of repacking, so AMEX Operations team can cross-check information present on CoA with actual information on the product that is to be sent."/>
    <s v="1._x0009_Corrective action: Amex contacted Avonchem regarding the discrepancy in the expiry date; Avonchem immediately fixed the mistake on the CoA and sent the updated CoA; Amex shared the updated CoA with MAUL; _x000a_2._x0009_Preventive action: It was agreed with the manufacturer that the photos of the actual batch would be sent at the time of repacking, so AMEX Operations team can cross-check information present on CoA with actual information on the product that is to be sent."/>
    <d v="2024-11-27T00:00:00"/>
  </r>
  <r>
    <s v="24-335"/>
    <x v="1"/>
    <x v="74"/>
    <s v="ldulanto / ezand"/>
    <s v="Vienna"/>
    <x v="0"/>
    <s v="Becton Dickinson"/>
    <s v="Medical Access Uganda"/>
    <s v="20222414-3"/>
    <x v="0"/>
    <x v="2"/>
    <s v="On 11 November 2024 FHI 360 PQC incident management staff received notification from MAUL that on 06 November 2024 they had received a notice from NDA (Uganda National Drug Authority) that product IV Catheter 20G, 0.9mm Sterile w/ inj. Port &amp; Stopper (Brand Name: Venflon 2 Pnk 20GA IV Canula) with batch number 3342763 manufactured by BD and supplied by AMEX did not comply to ISO 10555(1-5) and ISO 11074 specifications with respect to Bond between Hub and Needle. "/>
    <s v="BD confirmed that there was indeed an issue with the &quot;Bond between Needle and Hub&quot;, as reported in the complaint. The root cause is most likely related to manufacturing process (molding)."/>
    <n v="499"/>
    <s v="-"/>
    <s v="Y"/>
    <m/>
    <m/>
    <s v="ongoing"/>
  </r>
  <r>
    <s v="24-336"/>
    <x v="0"/>
    <x v="75"/>
    <s v="apodkopaev"/>
    <s v="Vienna"/>
    <x v="1"/>
    <s v="Sanofi"/>
    <s v="Medical Access Uganda"/>
    <n v="20242576"/>
    <x v="3"/>
    <x v="4"/>
    <s v="On 14.11.24 Gebruder Weiss (FF) picked up the cargo from Schachnger to ship it to Uganda. The cargo was to arrive to the consignee on the 20th November. On the 22nd November the customer advised the cargo did not arrive in the country.  AMEX informed FF about the missing shipment on the same day. On the 25th November FF advised AMEX that they cannot find the cargo anywhere. On the 26th November the truck driver found and retrieved the cargo from another warehouse, but could not advise on the type of warehouse (pharma, non-pharma) and what kind of other cargoes were stored there. The cargo was returned to Schachinger on the same day. According to DL reports, there were no temperature excursions. The photos showed no damages. Later FF confirmed it was non-GDP warehouse used for storage of electronics. Quality decided it was safe to ship the same cargo to the customer."/>
    <s v="The incident was under investigation by FF: SOPs, emergency docs plus checklist incl. appropriate staff instructions not reviewed and updated for aquite some time. Full report available."/>
    <s v="To be calculated"/>
    <s v="FF provided CAPA report suggesting improvements of their internal control over shipments in different stages of delivery:_x000a_GW SOP and instructions of vendorinternally updated (get pictures of the unloading every time for future shipments implementedget pictures of the unloading every time for future shipments implemented), GW scheduled vendor audit for April 2025"/>
    <s v="N"/>
    <s v="N/A"/>
    <s v="N/A"/>
    <d v="2025-01-24T00:00:00"/>
  </r>
  <r>
    <s v="24-337"/>
    <x v="0"/>
    <x v="76"/>
    <s v="kkanckova"/>
    <s v="Vienna"/>
    <x v="0"/>
    <s v="Cosmed"/>
    <s v="UNDP"/>
    <n v="20232481"/>
    <x v="3"/>
    <x v="7"/>
    <s v="AMEX FF Potus Group delivered treadmills to several locations in Ukraine. One end user in location Pavlohrad notified AMEX that they received one damaged unit - packaging was damaged, too. The  local engineer of AMEX local partner confirmed that treadmil is functioning and it´s only esthetical damage. _x000a__x000a_Due to PO closure by Dec 2024, AMEX was obliged to fix it urgently. However, second issue came - replacement parts for repair were shipped from supplier´s premises in Italy to a Ukraine hospital (to the consignee/receiver) and got stuck at customs. the consignee couldn't custom clear the shipment. This shipment was on hold at customs - which means, the repair process was on hold for weeks and was finalized  in february 2025."/>
    <s v="The root cause most likely happened due to  transportation or wrong packaging by manufacturer. _x000a_Customs issue: receiver should have been AMEX local partner, not the hospital or UNDP. They are unable to custom clear the shipment. "/>
    <n v="2000"/>
    <s v="AMEX Local partner (engineer) was sent to the site in Pavlohrad to evaluate the damage. It was confirmed that the unit is functioning and damage is only visual/esthetical. _x000a_AMEX FP has ordered replacement parts for fixing the estethical damage by  the local partner. The supplier Cosmed shipped the box back to Italy and resent to Ukraine again to Cosmed local partner to be able to import  the package. The repair was finished in  February  2025."/>
    <s v="N"/>
    <s v="N/A"/>
    <s v="N/A"/>
    <d v="2025-01-31T00:00:00"/>
  </r>
  <r>
    <s v="24-338"/>
    <x v="3"/>
    <x v="40"/>
    <m/>
    <s v="Vienna"/>
    <x v="2"/>
    <m/>
    <m/>
    <m/>
    <x v="5"/>
    <x v="8"/>
    <m/>
    <m/>
    <m/>
    <m/>
    <m/>
    <m/>
    <m/>
    <m/>
  </r>
  <r>
    <s v="24-339"/>
    <x v="1"/>
    <x v="77"/>
    <s v="kkanckova"/>
    <s v="Vienna"/>
    <x v="0"/>
    <s v="Roche"/>
    <s v="UNDP"/>
    <n v="20221573"/>
    <x v="4"/>
    <x v="4"/>
    <s v="The end user asked AMEX to replace one (out of 5) Cobas H 232 unit, because the equipment has reached the maximum lifetime (= max. number of tests (5000) performed). The machine was not functioning anymore and Roche confirmed that the machine will be replaced - as this is under warranty it should be done without any charges._x000a__x000a_Then, ´´suddenly´´ the customer requested 5 units free of charge from AMEX. This was out of scope of AMEX-UNDP agreement as the other 4 units were still functioning.  _x000a__x000a_Ongoingly, there was a request on side from end user to support them with a donation for water purification (pump) which they couldn´t procure and didn´t have any budget opened for this. AMEX FP went into discussion with Roche and agreed to donate it on costs of Roche as well._x000a__x000a_"/>
    <s v=" Customer was not aware of the max. lifetime of the equipment even though stated clearly in AMEX offer."/>
    <n v="0"/>
    <s v="Based on good relationship with Roche for this project, AMEX FP managed to negotiate and get 5 units free of charge for UNDP Algeria (at no costs for AMEX, only AMEX's time investment)._x000a_"/>
    <s v="N"/>
    <s v="N/A"/>
    <s v="N/A"/>
    <d v="2025-01-10T00:00:00"/>
  </r>
  <r>
    <s v="24-340"/>
    <x v="1"/>
    <x v="78"/>
    <s v="ebessenyeiova"/>
    <s v="Vienna"/>
    <x v="1"/>
    <s v="Aurobindo"/>
    <s v="UNDP"/>
    <n v="20230943"/>
    <x v="3"/>
    <x v="5"/>
    <s v="We have booked direct SEA shipment from Aurobindo (India) to UNDP in Turkmenistan. Goods were DG keep cool products therefore temperature controlled shipment has been booked. After delivery customer reported that data loggers are showing temperature deviation. Temperature went above 8 degrees several times with highest temperature 14 degrees. "/>
    <s v="Temperature deviation occurred at Poti Port due to the unit's defrost operation. This deviation is a result of the defrosting mechanism, which involves the introduction of heat into the refrigerated space to melt ice buildup. During this cycle, the internal temperature can rise above the optimal storage temperature._x000a_The defrosting operation is essential to protect the unit from ice buildup and ensure it maintains the optimal temperature for product storage. Additionally, regular defrost cycles are critical to the longevity and efficiency of the refrigeration unit, preventing potential malfunctions and maintaining overall performance._x000a_"/>
    <n v="0"/>
    <s v="After receiving data logger report from the customer, I have asked manufacturer to confirm if goods are still good to be used. Manufacturer confirmed that there is no impact on the goods and both products can be released to the patient. At the same time, we have asked freight forwarder for detailed clarification where any why the deviation happened and to provide CAPA from their side. Waiting for their feedback and CAPA."/>
    <s v="N"/>
    <s v="N/A"/>
    <s v="N/A"/>
    <d v="2025-04-22T00:00:00"/>
  </r>
  <r>
    <s v="24-341"/>
    <x v="1"/>
    <x v="79"/>
    <s v="Ldulanto"/>
    <s v="Vienna"/>
    <x v="0"/>
    <s v="Avonchem"/>
    <s v="Chemonics"/>
    <n v="20241727"/>
    <x v="0"/>
    <x v="6"/>
    <s v="During tender stage Avonchem offered a 96% HPLC Ethanol version to AMEX. After placing the PO and receiving the order confirmation Avonchem informed AMEX that they are unable to supply Ethanol 96% HPLC, which was at that time 4 weeks after placing the PO. "/>
    <s v="Avonchem assumed that the end user doesn't need the purity of the HPLC Ethanol version, but rather a less pure Ethanol version (= manufacturers mistake)."/>
    <s v="-"/>
    <s v=" Clear feedback was given to Avonchem to avoid that the same issue is happending in the future"/>
    <s v="N"/>
    <s v="N/A"/>
    <s v="N/A"/>
    <d v="2024-11-27T00:00:00"/>
  </r>
  <r>
    <s v="24-342"/>
    <x v="0"/>
    <x v="16"/>
    <s v="Jricker"/>
    <s v="Vienna"/>
    <x v="0"/>
    <s v="Intertek"/>
    <s v="IAEA"/>
    <n v="20222218"/>
    <x v="1"/>
    <x v="4"/>
    <s v="Goods are going to Uganda, however, Uganda requires a PVOC (pre-inspection certifcation). There were two issues that happened: 1) the PVOC is only valid for Uganda for 90 days. This was unknown to AMEX, so the PVOC had to be redone. This is because the Green Light process for IAEA takes several months, so the inital PVOC was not longer valid. 2) there are different PVOCs that are necessary for the different types of cargo. While the General Cargo PVOC was successful, the DG PVOC was denied and had to be reordered 3 times. All of these failed as well, because on the goods themselves the lot number and expiration date were not listed so PVOC-issuing company Intertek refused to certify the DG shipment. As such, the General Cargo and DG goods need to be separately announced and shipped, causing both a delay to the customer and additional financial costs to them and to AMEX for the multiple times the PVOC inspection appointments had to be scheduled. In the end, the DG Goods were cancelled (value of 900 €) as it was uncertain if they could ever been certifited for the pre-inspection and the General Cargo goods were announced on 17 December 2024. Once IAEA's Freight Forwarder gets the green light, then AMEX will organize another pre-inspection of the General Cargo goods so that they can be shipped within 30 days an successfully imported into Uganda."/>
    <s v="Fundamental mismatch between PVOC (pre-inspection certifcation) validity period for Uganda specifically and IAEA as a customer and how long it takes for them to issue the green light. Additionally, lack of knowledge on OP part of PVOC specifics for Uganda."/>
    <s v="about 2100 €"/>
    <s v="Improving OP training on pre-inspection process for different types of goods and specifically for countries that require pre-inspection as part of the clearance process"/>
    <s v="N"/>
    <s v="N/A"/>
    <s v="N/A"/>
    <s v="17.12.2024"/>
  </r>
  <r>
    <s v="24-343"/>
    <x v="0"/>
    <x v="80"/>
    <s v="Jricker"/>
    <s v="Vienna"/>
    <x v="0"/>
    <s v="ESCO South Africa"/>
    <s v="IAEA"/>
    <n v="20221245"/>
    <x v="1"/>
    <x v="4"/>
    <s v="All items were offered from one supplier, ESCO South Africa. Originally, the INCOTERM with customer IAEA was FCA Fischamend, AT. However, since the final destination is South Africa and the goods were being shipped from ESCO in Singapore, it makes little financial or enviornmental sense to ship the goods from Singapore to Austria, announce them as ready here, and then have them sent to South Africa, so AMEX asked the customer IAEA if AMEX could instead change the INCOTERMS to FCA South Africa. ESCO also has a location in South Africa so they even agreed to ship the goods from Singapore to South Africa and then AMEX could declare readiness as FCA pick-up from ESCO South Africa's warehouse. IAEA agreed to this as it would save on shipping costs. However, as the final destination of the goods was South Africa, according to ESCO, we had to process the order through ESCO South Africa office instead of ESCO Singapore. It was only realized later that this meant that because the goods were &quot;local&quot; (that is, being bought and sold within South Africa), ESCO South Africa needed to charge AMEX 15% South African VAT on the goods (even though they were shipped from Singapore). AMEX tried talking with ESCO Singapore, ESCO South Africa, IAEA, and AMEX's Accounting team to see if there was any way to not be charged the 15% VAT from ESCO South Africa but this was unavoidable according to ESCO South Africa's lawyers. This initiated a long conversation with IAEA about revising the PO to include the 15% VAT costs from ESCO South Africa, as if AMEX  just absorbed the costs, there would be a financial loss on this order. After months of back and forth, IAEA finally agreed in a gesture of goodwill to increase the value of the order by 15% so that AMEX would not suffer a financial loss. "/>
    <s v="Lack of OP knowledge. Should have known that if goods were being sold by a company based in South Africa with the final destination being in the same country (South Africa), then the VAT costs would apply. Needed to have fully discussed the issue with the customer beforehand and made the call to accept the VAT costs (or not) before the order was placed with the vendor. Ultimately, should have simply offered FCA Fischamend, AT instead of changing INCOTERMS to FCA South Africa, even though the environmental and logistics costs were higher. Internal lack of clarity within ESCO about processes and different people responsible for different things. "/>
    <n v="0"/>
    <s v="Improving OP training and onboarding regarding &quot;local producrment&quot;, that is, when purchasing and delivering goods within the same country. Additionally, note and comment added to Vendor Card 37710 for ESCO South Africa warning users to confirm if their order is with ESCO Singapore or ESCO South Africa prior to the order being placed on 23 April 2025."/>
    <s v="N"/>
    <s v="N/A"/>
    <s v="N/A"/>
    <s v="23.04.2025"/>
  </r>
  <r>
    <s v="24-344"/>
    <x v="0"/>
    <x v="81"/>
    <s v="Jricker"/>
    <s v="Vienna"/>
    <x v="0"/>
    <s v="Metrohm"/>
    <s v="GIZ"/>
    <n v="20222160"/>
    <x v="1"/>
    <x v="3"/>
    <s v="Offered a lead time of 14-16 weeks for the whole project (11 vendors) when the lead time from vendor Metrohm (dist for Huber) was 26 weeks. This led to disappointment from the customer when we informed them about delaying the shipment at the order stage."/>
    <s v="Sales colleague did not double check the lead time of all vendors before the offer was made. "/>
    <n v="0"/>
    <s v="Explained situation to customer and tried to manage expectations of when goods could be delivered realistically. They begrudgingly accepted. "/>
    <s v="N"/>
    <s v="N/A"/>
    <s v="N/A"/>
    <d v="2023-09-05T00:00:00"/>
  </r>
  <r>
    <s v="24-345"/>
    <x v="1"/>
    <x v="82"/>
    <s v="Jricker"/>
    <s v="Vienna"/>
    <x v="0"/>
    <s v="MP Biomedicals Germany GmbH"/>
    <s v="GIZ"/>
    <n v="20231219"/>
    <x v="1"/>
    <x v="0"/>
    <s v="AMEX only offered 1 Homogenizer instead of the requested 2 at the Sales stage and this was not realized by the customer during the evaluation process of the offer nor by the OP colleague when the order was placed. The supplier MP Biomedicals did note that they had initially quoted 2 of these items and asked if AMEX indeed only needed 1 of them. The OP colleague did not check with the customer and instead confirmed that only 1 was needed, which was incorrect. The 1 item was then shipped and invoiced to the customer. It was only when the item arrived at the end-user did the end-user notice that 1 item was missing and the customer informed AMEX of this on 24/11/2023"/>
    <s v="OP colleague did not double check with the customer when the quantity of this item was changed from the Offer to the Order stage. "/>
    <n v="0"/>
    <s v="New offer sent to customer and new order placed from customer for missing item on 15/10/2024"/>
    <s v="N"/>
    <s v="N/A"/>
    <s v="N/A"/>
    <d v="2024-10-15T00:00:00"/>
  </r>
  <r>
    <s v="24-346"/>
    <x v="0"/>
    <x v="83"/>
    <s v="Jricker"/>
    <s v="Vienna"/>
    <x v="0"/>
    <s v="TCP-Prüftechnik GmbH"/>
    <s v="IAEA"/>
    <n v="20240238"/>
    <x v="0"/>
    <x v="3"/>
    <s v="Supplier TCP-Prüftechnik GmbH is repeatedly delayed in both the shipment of items and answering clarifying questions from AMEX causing the IAEA order to be delayed by over 12 months"/>
    <s v="Supplier capacity issue"/>
    <s v="2000-3000 €"/>
    <s v="In the future, this supplier should be replaced with one that is more responsive. Comments added to vendor card on Sofia on 17.12.2025. Additionally, look at doing a partial announcement of the goods that are ready."/>
    <s v="N"/>
    <s v="N/A"/>
    <s v="N/A"/>
    <s v="17.12.2025"/>
  </r>
  <r>
    <s v="24-347"/>
    <x v="0"/>
    <x v="40"/>
    <s v="Jricker"/>
    <s v="Vienna"/>
    <x v="0"/>
    <s v="Thermo Fisher Scientific"/>
    <s v="IAEA"/>
    <n v="20222433"/>
    <x v="1"/>
    <x v="3"/>
    <s v="Very short shelf life item (5 months) expired before AMEX could ship it DAP to the end-user."/>
    <s v="OP capacity issue"/>
    <n v="6000"/>
    <s v="AMEX explained situation to customer and ultimately got them to agree to cancel the remaining expired item."/>
    <m/>
    <m/>
    <m/>
    <d v="2024-12-19T00:00:00"/>
  </r>
  <r>
    <s v="24-348"/>
    <x v="1"/>
    <x v="84"/>
    <s v="ldulanto"/>
    <s v="Vienna"/>
    <x v="0"/>
    <s v="Fortress"/>
    <s v="Chemonics "/>
    <n v="20241563"/>
    <x v="3"/>
    <x v="5"/>
    <s v="PSM requested a Quality control inspection in which samples were requested and PSM sent Baltic Control to pick up the samples; Baltic Control did not ship the goods under the corresponding temperature (2-8 degrees), therefore Baltic Control needed to pick up a second batch of samples, but they were also shipped by them under an incorrect temperature. FHI opended a case to investigate Baltic control. "/>
    <s v="During shipment by Baltic Control the temperature was not kept between 2-8°C. However, if BC shipped goods with temperature controlled shipment or not is unclear."/>
    <n v="0"/>
    <s v="It is adviced that PSM uses another freight forwarder or other professional parcel company when picking up samples. Since PSM was commissioning BC, there are no actions to be considered by AMEX."/>
    <s v="N"/>
    <s v="N/A"/>
    <s v="N/A"/>
    <s v="28/03/2025"/>
  </r>
  <r>
    <s v="24-349"/>
    <x v="1"/>
    <x v="85"/>
    <s v="ldulanto"/>
    <s v="Vienna"/>
    <x v="0"/>
    <s v="Chemi pharma, Sarsted, Deltalab"/>
    <s v="Medical Access Uganda"/>
    <s v="20222410 &amp; 20222414"/>
    <x v="2"/>
    <x v="4"/>
    <s v="Cargo Partner didn't accept the returning of 3 containers that the customer needed to return back to the warehouse, resulting in extra cost for MAUL"/>
    <s v="The root cause is not quite clear. The customer's FF picked up and loaded 3 containers including items from 4 projects, although the items were missing a PVoC inspection; reason why the goods were sent back to cargo partner, the warehouse did not want to get the goods back and unload them. "/>
    <s v="USD 8,440.48 "/>
    <s v="Based on good relationship with Roche for this project, AMEX FP managed to negotiate and get 5 units free of charge for UNDP Algeria (at no costs for AMEX, only AMEX's time investment)._x000a_"/>
    <s v="N"/>
    <s v="N/A"/>
    <s v="N/A"/>
    <d v="2025-01-15T00:00:00"/>
  </r>
  <r>
    <s v="24-350"/>
    <x v="2"/>
    <x v="86"/>
    <s v="nilic"/>
    <s v="Vienna"/>
    <x v="0"/>
    <s v="Coloplast"/>
    <s v="ICRC"/>
    <n v="2023171"/>
    <x v="0"/>
    <x v="2"/>
    <s v="Possible sterility issue was detected in Coloplast's facility on some Coloplast products. This issue on the Coloplast devices packaging has been identified during testing. Defect is not easily visible by the users."/>
    <s v="Issue during the sterility process."/>
    <n v="0"/>
    <s v="Customer was informed and official documents about the safety notice were shared. Affected batches have been put into quarantine._x000a_Internal stock was checked, affected batches detected, picked up by Coloplast and credit note was issued."/>
    <s v="N"/>
    <m/>
    <m/>
    <d v="2025-03-13T00:00:00"/>
  </r>
  <r>
    <s v="24-351"/>
    <x v="0"/>
    <x v="87"/>
    <s v="eraaber"/>
    <s v="Vienna"/>
    <x v="1"/>
    <s v="SÜDOSTCARGO"/>
    <s v="UNDP "/>
    <n v="20241859"/>
    <x v="3"/>
    <x v="5"/>
    <s v="_x000a_Datalogger report shows that the goods were not stored in the temperature range of 15-25°C after arrival at Vienna Airport. Temperature deviation both at Vienna Airport and later in transit at destination _x000a_"/>
    <s v="Final feedback from the handling agent and the Vienna airport was that the issue was due to a human error. As we have not experienced any financial loss, we consider this case to be closed._x000a__x000a__x000a__x000a_"/>
    <n v="0"/>
    <s v="After checking with manufacturer, received confirmation that_x000a_the products are good to use and informed _x000a_UNDP Turkmenistan accordingly"/>
    <m/>
    <m/>
    <m/>
    <d v="2025-04-08T00:00:00"/>
  </r>
  <r>
    <s v="24-352"/>
    <x v="0"/>
    <x v="88"/>
    <s v="mbisercic"/>
    <s v="Vienna"/>
    <x v="1"/>
    <s v="Schachinger"/>
    <s v="N//A"/>
    <s v="N//A"/>
    <x v="1"/>
    <x v="4"/>
    <s v="As per Amex SOP 15 - Prequalification and yearly audit of warehousing and freight forwarder partners, Amex  should be conducting annual audits of the key third parties. In 2024, Amex did not conduct audit of key contracted warehouses - Schachinger (for pharmaceuticals) and cargo-partner (for other medical items)_x000a_Referenced to deviation 25-008"/>
    <s v="During 2024, several significant changes happend in the company - key personnel left, several CEOs changed in the timespan of 6 months, new and unexperienced personnel was assigned to Amex projects. This severely distrupt Amex daily operations and Schachinger team was working together with Amex team to solve all problems. Due to constant visits of Amex team as well as known issues that should be worked on, it was decided together with Schachinger that the audit should be done once the processes are back to normal. Absence of audit did not have any impact on Amex, due to mentioned reason - Amex team being present in the warehouse and partnering with Schachinger management and warehouse personnel."/>
    <n v="0"/>
    <s v="Setting up audit date in 2025"/>
    <s v="N"/>
    <s v="N/A"/>
    <s v="N/A"/>
    <d v="2025-02-07T00:00:00"/>
  </r>
  <r>
    <s v="24-353"/>
    <x v="0"/>
    <x v="89"/>
    <s v="Mmazhar"/>
    <s v="Vienna"/>
    <x v="0"/>
    <s v="Carl Roth"/>
    <s v="IAEA"/>
    <n v="20240895"/>
    <x v="0"/>
    <x v="7"/>
    <s v="Item# T143.5 arrived broken in CP warehouse and warehouse operations team have created a clarification case (K 2460) for it. "/>
    <s v="Damage during delivery"/>
    <s v="-"/>
    <s v="Item being replaced by supplier free of charge"/>
    <s v="N"/>
    <s v="N\A"/>
    <s v="N\A"/>
    <d v="2025-01-05T00:00:00"/>
  </r>
  <r>
    <s v="24-354"/>
    <x v="1"/>
    <x v="88"/>
    <s v="ebessenyeiova"/>
    <s v="Vienna"/>
    <x v="1"/>
    <s v="PharmIdea"/>
    <s v="UNDP"/>
    <n v="20222599"/>
    <x v="3"/>
    <x v="5"/>
    <s v="UNDP Turkmenistan reported temperature deviation after product was delivered. Shipment was booked as ambient temperature shipment whenever possible but temperature dropped to 5 °C on 23.12.2024 . Temperature was constantly dropping and than rising back up for several days. It was under 15 °C from 21/12/24 01:43 and got back above the 15°C after 26/12/24 09:23."/>
    <s v="Freight forwarder revert back with following explanation: Based on the temperature deviations shown on the datalogger report we checked the temperature inside the truck delivering the cargo to Frankfurt airport. Given the temperature logs from the truck (loading on 19th, delivering on 23rd around lunch time) we can’t find any temperature deviation as significant as from the loggers. As this shipment was transported under passive temperature control, it is possible to have deviations between loading and unloading as no cooling is possible while those procedures.  Pallets were wrapped in thermal blankets, however, this passive solution was not sufficient for the shipping root taken."/>
    <n v="0"/>
    <s v="We have approached manufacturer to confirm if product can be released to the patient and used. At the same time, we asked freight forwarder to clarify why the deviation happened. Based on the explanation from the FF the deviation has been caused during loading and unloading as no active cooling is possible during this time.  Manfuacturer confirmed that there is no impact on quality of the product and medicine can be released to the market."/>
    <s v="N"/>
    <s v="N/A"/>
    <s v="N/A"/>
    <d v="2025-04-10T00:00:00"/>
  </r>
  <r>
    <s v="24-355"/>
    <x v="0"/>
    <x v="90"/>
    <s v="ebessenyeiova"/>
    <s v="Vienna"/>
    <x v="1"/>
    <s v="Medochemie"/>
    <s v="UNICEF"/>
    <n v="20241523"/>
    <x v="0"/>
    <x v="4"/>
    <s v="After processing inbound quality inspection warehouse reported missing data logger."/>
    <s v="Medochemie didnt include data logger to the consignment. They dont have DL by themselves. AMEX is responsible to send DL to Medochemie in order Medochemie to include DLs to every delivery. However, Medochemie ran out of DLs from AMEX and didnt inform anyone. "/>
    <n v="0"/>
    <s v="Medochemie was approached to clarify if DL was not included in the consginment and if not, why. Supplier confirmed DL was not included. Temperature reading from the truck was available which was used to check the temperature during the inbound delivery."/>
    <s v="N"/>
    <s v="N/A"/>
    <s v="N/A"/>
    <d v="2025-01-08T00:00:00"/>
  </r>
  <r>
    <s v="24-356"/>
    <x v="0"/>
    <x v="91"/>
    <s v="ebessenyeiova"/>
    <s v="Vienna"/>
    <x v="1"/>
    <s v="Medochemie"/>
    <s v="UNICEF"/>
    <n v="20241523"/>
    <x v="0"/>
    <x v="4"/>
    <s v="Supplier provided packing list with wrong expiry dates.  "/>
    <s v="Human error on the supplier side. "/>
    <n v="0"/>
    <s v="Supplier has been contacted to confirm correct information about the product and batches that were delivered and to provide revised packing list. "/>
    <s v="N"/>
    <s v="N/A"/>
    <s v="N/A"/>
    <d v="2025-01-08T00:00:00"/>
  </r>
  <r>
    <s v="24-357"/>
    <x v="0"/>
    <x v="92"/>
    <s v="apodkopaev"/>
    <s v="Vienna"/>
    <x v="1"/>
    <s v="Gebruder Weiss"/>
    <s v="UNPD"/>
    <n v="20240215"/>
    <x v="3"/>
    <x v="3"/>
    <s v="As per the AWB, the cargo was scheduled to arrive in Bangui on 6 December 2024. FF sent us the confirmation that the cargo was delivered to Bangui on 6 December. On 3 January 2025 the customer advised that the cargo never arrived at the destination. When asked to investigate, FF advised that the cargo was still in Paris. The cargo was rebooked for 10 January. FF confirmed that the in the meantime the cargo was stored in +15/+25 C warehouse since arrival in Paris. On 09 January FF provided the statement from Air France saying that the cargo was not delivered as scheduled due to an IT failure.  On 13 January FF advised that the cargo was delivered to Bangui on 12 January. "/>
    <s v="IT issue of a third party supplier (Air France). FF never checked if the cargo was delivered to destination on time. _x000a_The incident was under investigation by FF: SOPs, emergency docs plus checklist incl. appropriate staff instructions not reviewed and updated for aquite some time. Full report available._x000a_Full report available."/>
    <n v="0"/>
    <s v="FF provided CAPA report suggesting improvements of their internal control over shipments in different stages of delivery. Additional test loop and adaptation of the internal customer SOP for arrival checks implemented."/>
    <s v="N"/>
    <s v="N/A"/>
    <s v="N/A"/>
    <d v="2025-01-24T00:00:00"/>
  </r>
  <r>
    <s v="24-358"/>
    <x v="2"/>
    <x v="93"/>
    <s v="ralghazawi"/>
    <s v="Vienna"/>
    <x v="0"/>
    <s v="HUMAN "/>
    <s v="UNDP/ WHO "/>
    <s v="20211693-02, 20221617"/>
    <x v="0"/>
    <x v="4"/>
    <s v="The manufacturer, HUMAN, conducted internal evaluations following a confirmed customer complaint and identified that, in rare cases, the HumaStar 300SR, when used with GLUCOSE liquicolor reagents, may report falsely low glucose values for samples with concentrations above 450 mg/dL. The discrepancies result in readings that are 15-40% lower than the actual concentration and can lead to incorrect handling of samples exceeding the upper measuring limit of 500 mg/dL. Similar behavior was observed during internal testing on isolated HumaStar 100 and 200 systems. To resolve this issue, the manufacturer has developed an optimized settings update, which should be immediately installed on all affected devices to improve performance and ensure accurate results."/>
    <s v="The root cause isn’t explicitly stated as a clear technical fault like a component failure or reagent instability. Instead, the details provided hint that the issue stems from incorrect or suboptimal instrument settings 'incorrect settings or configuration discrepancies' on the HumaStar devices when used with the GLUCOSE liquicolor reagent. "/>
    <n v="0"/>
    <s v="Notified Customers: AMEX informed all customers using GLUCOSE liquicolor on HumaStar 100, 200, and 300SR about the Urgent Field Safety Notice (FSN)._x000a__x000a_Provided Updated Settings: AMEX shared the updated settings database (HSB 0055) and ensured it was installed on all active HumaStar instruments (100, 200, and 300SR) promptly._x000a__x000a_Confirmed Receipt: AMEX filled out and submitted the attached Reply Form, confirming receipt of the FSN, to support@human.de"/>
    <s v="N"/>
    <s v="N/A"/>
    <s v="N/A"/>
    <d v="2024-12-20T00:00:00"/>
  </r>
  <r>
    <s v="24-359"/>
    <x v="2"/>
    <x v="90"/>
    <s v="ralghazawi"/>
    <s v="Vienna"/>
    <x v="0"/>
    <s v="Bbraun"/>
    <s v="UNDP"/>
    <s v="20221951, 20241148"/>
    <x v="0"/>
    <x v="4"/>
    <s v="The urgent field safety notice (FSCA286) from B. Braun addresses a potential issue with AESCULAP arterial clamps. The problem identified is the risk of cracking or breakage of the instruments at the box lock during use. This defect could lead to device failure during surgical procedures, posing potential risks to patients and users._x000a__x000a_The notice advises users to inspect the instruments before use and discontinue the use of affected batches. Affected customers are requested to acknowledge receipt of the notice and follow the recommended actions."/>
    <s v="The safety notice states that the root cause of the issue is a material-related defect that can lead to cracking or breaking at the box lock of the AESCULAP arterial clamps. This defect increases the risk of instrument failure during use._x000a__x000a_"/>
    <n v="0"/>
    <s v="AMEX notified customer "/>
    <s v="N"/>
    <s v="N/A"/>
    <s v="N/A"/>
    <d v="2025-01-22T00:00:00"/>
  </r>
  <r>
    <s v="25-001"/>
    <x v="1"/>
    <x v="94"/>
    <s v="qaburayya"/>
    <s v="Vienna"/>
    <x v="1"/>
    <s v="GW"/>
    <s v="action meodor"/>
    <n v="20242891"/>
    <x v="3"/>
    <x v="3"/>
    <s v="GW informed AMEX that the shipment is on its way to Vienna on 10th of JAN and when AMEX asked about the ETA they replied on 14th of JAN saying that the Shipper has postponed the collection of the goods due to an internal error."/>
    <s v="The supplier faced technical issues, due to a study regarding the temperature changes on the goods during shipping which was ongoing at that time. The FF failed to provide correct information on the shipment status._x000a_The incident was under investigation by FF: SOPs, emergency docs plus checklist incl. appropriate staff instructions not reviewed and updated for aquite some time. Full report available."/>
    <n v="0"/>
    <s v="FF provided CAPA report suggesting improvements of their internal control over shipments in different stages of delivery. Additional test loop and adaptation of the internal customer SOP for arrival checks implemented."/>
    <s v="N"/>
    <s v="N/A"/>
    <s v="N/A"/>
    <d v="2025-01-24T00:00:00"/>
  </r>
  <r>
    <s v="25-002"/>
    <x v="0"/>
    <x v="95"/>
    <s v="kamann"/>
    <s v="Vienna"/>
    <x v="1"/>
    <s v="Thera / Navi"/>
    <s v="MSF"/>
    <n v="20242335"/>
    <x v="0"/>
    <x v="5"/>
    <s v="Navi arranged shipment (with DHL) to us without activated datalogger.   Therefore no temperature recordings are available"/>
    <s v="Navi didn't activate the datalogger"/>
    <n v="0"/>
    <s v="this was shipped with DHL in one of our Polybox 28.    Lana checked the transit route and the temperatures during transit and came to the conclusion that the product is safe to use"/>
    <m/>
    <m/>
    <m/>
    <d v="2025-01-14T00:00:00"/>
  </r>
  <r>
    <s v="25-003"/>
    <x v="0"/>
    <x v="96"/>
    <s v="amalajev"/>
    <s v="Vienna"/>
    <x v="0"/>
    <s v="K&amp;N"/>
    <s v="UNDP"/>
    <s v="20230443-1A"/>
    <x v="3"/>
    <x v="4"/>
    <s v="K&amp;N just randomly sent us an Invoice for the special labelling they did for this order due to DG item that was inside. We explained to them that we did properly packed and labelled and nothing special was supposed to be added (as we checked it with Roland) but they were not really willing to take the costs away. Amex decided to just pay and close the case"/>
    <s v="K&amp;N had to inform us in advance of the costs and that they need a special labelling to be added and not just send us the Invoice and charge randomly after they collected the goods"/>
    <n v="150"/>
    <s v="Agreed to be more transparent and careful with the next orders and such labelling issues"/>
    <s v="N"/>
    <m/>
    <m/>
    <d v="2025-01-28T00:00:00"/>
  </r>
  <r>
    <s v="25-004"/>
    <x v="1"/>
    <x v="97"/>
    <s v="amalajev"/>
    <s v="Vienna"/>
    <x v="0"/>
    <s v="Merc"/>
    <s v="UNDP"/>
    <s v="20221846-1A"/>
    <x v="1"/>
    <x v="4"/>
    <s v="Kits had a short expiry date and UNDP refused to use them for installation and we had to procure and deliver better expiration dates"/>
    <s v="When the UNDP Po was placed it took a long time to understand where these kits can be bought (from Merc or Sigma) and who is the responsible party. It took months to place an order and items had a delay. We had to deliver the goods and we thought we just ship these little kits wiht a short expiry date and maybe it will work out. But delivery and etc took a long time, so the kits had a short expiry in the end and UNDP insisted on us buying new items"/>
    <s v="300 EUR for the goods and 390 EUR for the shipping "/>
    <s v="We delivered the goods for UNDP and covered all extra costs"/>
    <s v="N"/>
    <m/>
    <m/>
    <d v="2025-01-09T00:00:00"/>
  </r>
  <r>
    <s v="25-005"/>
    <x v="1"/>
    <x v="98"/>
    <s v="amalajev"/>
    <s v="Vienna"/>
    <x v="0"/>
    <s v="MbNet"/>
    <s v="UNDP"/>
    <n v="20230315"/>
    <x v="0"/>
    <x v="6"/>
    <s v="Some pads were forgotten and the supplier had to deliver them to Ukraine and cover the costs. The local K&amp;N was very nice to offer Amex a free of charge delivery of the missing pads to the hospitals. It was a clear mistake of the supplier, but they didnt really apologize or aknowledge it. Although, in the beginning we had a very nice and cooperative talks"/>
    <s v="Miscommunication.."/>
    <n v="0"/>
    <s v="to try for next orders to be more clear in communication with the supplier"/>
    <s v="N"/>
    <m/>
    <m/>
    <d v="2024-10-14T00:00:00"/>
  </r>
  <r>
    <s v="25-006"/>
    <x v="0"/>
    <x v="99"/>
    <s v="btuna"/>
    <s v="Vienna"/>
    <x v="0"/>
    <s v="Vamos Medical &amp; Inform"/>
    <s v="UNDP"/>
    <n v="20222617"/>
    <x v="0"/>
    <x v="4"/>
    <s v="The payment to turkish supplier was made in Euro, instead of Turkish Lira (TL), which resulted in complications for the turkish supplier. Background: For UN projects in Cyprus, payments to Turkish suppliers must be made in TL, as per the latest trade regulations between Turkey and TRNC. Payments in foreign currencies (e.g., EURO or USD) create export declaration issues, as goods must be declared in TL. If suppliers receive payment in EURO but attempt to declare goods in TL, they may face compliance issues during audits."/>
    <s v="Usage of wrong currency for prepayment. Lack of knowledge regarding the recent regulation btwn two states at AMEX"/>
    <n v="500"/>
    <s v="AMEX re-arranged the pre-payment in TL  and asked for first pre-payments to be refunded. Due to Buy and Sell prices (Arbitrage) AMEX lost around 500 euros to complete the transactions."/>
    <s v="N"/>
    <s v="N/A"/>
    <s v="N/A"/>
    <d v="2024-11-28T00:00:00"/>
  </r>
  <r>
    <s v="25-007"/>
    <x v="2"/>
    <x v="100"/>
    <s v="ezand"/>
    <s v="Vienna"/>
    <x v="0"/>
    <s v="HUMAN "/>
    <s v="UNDP"/>
    <n v="20221617"/>
    <x v="0"/>
    <x v="4"/>
    <s v="Revised calibration (target) values for alkaline phosphatase for the following Human items Autocal (Item number: 13160, Lot: 0019C), Humatrol N (Item number: 13511, Lot: 0009) and   Humatrol P (Item number: 13512, Lot: 0006A)."/>
    <s v="HUMAN's internal QA noted the necessity to improve traceability procedures for Alkaline Phosphatase opt. liquicolor, LDH SCE mod. liquiUV, Pancreas Amylase liquicolor and Phosphorus liquirapid in AUTOCAL 0019. Consequently, the target values for Alkaline Phosphatase opt. liquicolor, LDH SCE mod. liquiUV, Pancreas Amylase liquicolor, Phosphorus liquirapid, GOT (ASAT) IFCC mod. liquiUV and Glucose liquicolor in HumaTrol N and HumaTrol P Controlsthe multi-calibrator and quality controls were also revised."/>
    <n v="0"/>
    <s v="UNDP was informed about the revised calibration and target values and saftey notice documents were shared. "/>
    <s v="N"/>
    <s v="N/A"/>
    <s v="N/A"/>
    <d v="2025-02-07T00:00:00"/>
  </r>
  <r>
    <s v="25-008"/>
    <x v="0"/>
    <x v="88"/>
    <s v="mbisercic"/>
    <s v="Vienna"/>
    <x v="0"/>
    <s v="Cargo-partner"/>
    <s v="N//A"/>
    <s v="N//A"/>
    <x v="1"/>
    <x v="4"/>
    <s v="As per Amex SOP 15 - Prequalification and yearly audit of warehousing and freight forwarder partners, Amex  should be conducting annual audits of the key third parties. In 2024, Amex did not conduct audit of key contracted warehouses - Schachinger (for pharmaceuticals) and cargo-partner (for other medical items)_x000a_Referenced to deviation 24-352"/>
    <s v="Due to introduction of kitting process as well as expanding scope of the cargo-partner's service, it was agreed with cargo-partner that the audit would be done once new processes are imlplemented. Postponing of the audit did not have any consequences on the daily operations or services, as Amex Quality and Warehousing team were involved in creation of a new setup."/>
    <n v="0"/>
    <s v="Setting up audit date in 2025"/>
    <s v="N"/>
    <s v="N/A"/>
    <s v="N/A"/>
    <d v="2025-02-07T00:00:00"/>
  </r>
  <r>
    <s v="25-009"/>
    <x v="0"/>
    <x v="101"/>
    <s v="Qaburayya"/>
    <s v="Vienna"/>
    <x v="1"/>
    <s v="FHC"/>
    <s v="MSF NL"/>
    <n v="20242696"/>
    <x v="3"/>
    <x v="5"/>
    <s v="data logger readings show deviations between 25.01 and 27.01 alternating between 30.3 C and 2.9 C"/>
    <s v="could not determine the cause of the deviation, but it was a small deviation that did not affect the goods."/>
    <n v="0"/>
    <s v="Amex contacted the supplier to confirm that the goods are not affected by this deviation, and the supplier confirmed."/>
    <s v="N"/>
    <s v="N/A"/>
    <s v="N/A"/>
    <d v="2025-04-09T00:00:00"/>
  </r>
  <r>
    <s v="25-010"/>
    <x v="1"/>
    <x v="101"/>
    <s v="satanassova"/>
    <s v="Vienna"/>
    <x v="0"/>
    <s v="Gima"/>
    <s v="UNDP"/>
    <n v="20233065"/>
    <x v="0"/>
    <x v="2"/>
    <s v="After delivery, the end user &amp; installation partner in the hospital reported that the nebulizer only functions when set to the maximum level ( setting )."/>
    <s v="During installation at the end user hospital in Gambia the installation partner Ecomed Scientific reported the problem, which is probably caused by a defect of the device. A video was provided."/>
    <s v="08.04.2025 SA: no financial implication so far, our buying price (PO to Gima) was 99 EURO including shipment charges from Italy to Austria"/>
    <s v="OP specialist contacted the manufacturer GIMA to inform them about the complaint. Supplier Gima instructed us to advise the customer to send the defect device back to Gima. After informing the customer UNDP, Dr. Dolly Thomson they confirmed to proceed with sending the device on 12.12.2024. _x000a_Follow-up email sent on 08.04.2025 to UNDP - response was that the item was not sent to the manufacturer yet."/>
    <s v="N"/>
    <s v="N/A"/>
    <s v="N/A"/>
    <d v="2025-04-09T00:00:00"/>
  </r>
  <r>
    <s v="25-011"/>
    <x v="1"/>
    <x v="102"/>
    <s v="ebessenyeiova"/>
    <s v="Vienna"/>
    <x v="1"/>
    <s v="PharmIdea"/>
    <s v="UNDP"/>
    <n v="20222599"/>
    <x v="3"/>
    <x v="5"/>
    <s v="Data loggers report showed temperature deviation during the shipment to Turkmenistan. Temperature dropped below 15 degrees several times. During the transit temperature dropped to 0.9 degrees on 09.02.2025 22:52. After delivery, data logger showed temperature deviation to -0.3 degrees. "/>
    <s v="Freight forwarder run the analyses and provided following explanation: _x000a_The provided timeline indicates that temperatures dropped below +15°C during loading and unloading to/from trucks/aircraft, as well as during airfreight. However, during terminal storage at RIX, VNO, and IST, temperatures either remained within or returned to the +15°C to +25°C_x000a_range. At VNO, the shipment was placed in a +15°C to +25°C storage area, as evidenced by temperatures remaining in range for approximately 24 hours after receipt (from 07.02.2025 18:26 to 08.02.2025 16:02)._x000a_Root Cause Identified: Insufficient temperature-protective packaging._x000a_Actions Suggested for Prevention: Use of more reliable temperature-protective packaging.                                                                                            We have received an explanation from the customer that temperature deviation after delivery happened during transfer of data loggers to the UNDP office."/>
    <n v="0"/>
    <s v="AMEX shared data logger reports with the manufacturer PharmIdea and they have confirmed that product can be released and used. Pharmidea provided official statement which has been shared with the customer. At the same time AMEX approached freight forwarder requesting the explanation of the root cause and plan for correction. UNDP confirmed that deviation after delivery was not related to products as well and it has been caused by personnel on their end during the transfer of data loggers. "/>
    <s v="N"/>
    <s v="N/A"/>
    <s v="N/A"/>
    <d v="2025-04-10T00:00:00"/>
  </r>
  <r>
    <s v="25-012"/>
    <x v="0"/>
    <x v="103"/>
    <s v="apodkopaev"/>
    <s v="Vienna"/>
    <x v="1"/>
    <s v="Genetech"/>
    <s v="I+ Solutions"/>
    <n v="20241873"/>
    <x v="0"/>
    <x v="4"/>
    <s v="When the inbound cargo was booked by the warehouse, the datalogger provided with the shipment had no temperature readings."/>
    <s v="The supplier advised that &quot;once logger is connected to computer, power system of logger will be activated, then the guaranteed shelf life will be reduced to one year, you need to use the logger ASAP. So please do not connect logger to cpmputer if you do not plan to use the logger immediately&quot;.  The exact root cause cannot be determined as the responsbile person at Schachinger is no longer working there. It can be only presumed that the person did not handle data logger properly."/>
    <n v="0"/>
    <s v="The message was sent to Schachinger warehouse with the request to immediately download data from dataloggers as soon as dataloggers are connected to the computer"/>
    <s v="N"/>
    <s v="N/A"/>
    <s v="N/A"/>
    <s v="17/04/2025"/>
  </r>
  <r>
    <s v="25-013"/>
    <x v="1"/>
    <x v="102"/>
    <s v="jtuerk"/>
    <s v="Vienna"/>
    <x v="0"/>
    <s v="Hollergschwandner "/>
    <s v="UNIDO"/>
    <n v="20231837"/>
    <x v="0"/>
    <x v="2"/>
    <s v="one of the glass column is broken when end-user received."/>
    <s v="The root cause of the broken product column is vibration or impact during transportation to the end-user."/>
    <n v="42.24"/>
    <s v="In the future glass related shipments will add a note/sticker for fragile or &quot;glass&quot; "/>
    <s v="N"/>
    <s v="N/A"/>
    <s v="N/A"/>
    <s v="17/04/2025"/>
  </r>
  <r>
    <s v="25-014"/>
    <x v="5"/>
    <x v="104"/>
    <s v="sdenitto"/>
    <s v="Vienna"/>
    <x v="0"/>
    <s v="Beckman Coulter South Africa"/>
    <s v="UNIDO"/>
    <n v="20222390"/>
    <x v="0"/>
    <x v="9"/>
    <s v="Amex OP bought a very particular Centrifuge in October (continuous low centrifuge). _x000a_During the sales phase, both centrifuge and protocol for installation were quoted. Once everything was delivered, it was noted that 5 mandatory accessories for installation were missing, and it was realized only three weeks before the installation. The supplier also did not check there are only 2 engineers in the entire company that can do the installation. In addition to this, the supplier didn’t check that there were internal restrictions (company rules) regarding travels for installation leading to additional loss of two weeks. The entire situation caused customers considering cancelling part of the PO ( actually 300 000 USD) or to cancel the centrifuge ( 100 000 USD"/>
    <s v="The supplier overlooked part of the PO considering installation. It was confirmed by them that the project was lead by an experienced, newly joined person. "/>
    <s v="5505,9  EUR"/>
    <s v="Managers informed, set up weekly meetings with client and pushed supplier multiple times a day with phone calls, email and meeting.  "/>
    <s v="N"/>
    <s v="N/A"/>
    <s v="N/A"/>
    <d v="2025-04-11T00:00:00"/>
  </r>
  <r>
    <s v="25-015"/>
    <x v="1"/>
    <x v="17"/>
    <s v="kkanckova"/>
    <s v="Vienna"/>
    <x v="0"/>
    <s v="Biobase"/>
    <s v="UNOPS"/>
    <s v="20231480"/>
    <x v="3"/>
    <x v="7"/>
    <s v="_x000a_The outer case of the product 1 piece of  &quot;Vortex Mixer&quot; arrived broken at the end users site (Laboratory in Toba Tek Singh in Pakistan). After first repair the end user informed AMEX about not functioning touch mode. "/>
    <s v="The outer case was damaged due to mishandling during transportation by the freight forwarder._x000a_"/>
    <n v="0"/>
    <s v="The supplier Biobase shared a video with the local partner who visited the end user and fixed the touch mode of Vortex Mixer._x000a_"/>
    <s v="N"/>
    <s v="N/A"/>
    <s v="N/A"/>
    <d v="2024-05-23T00:00:00"/>
  </r>
  <r>
    <s v="25-016"/>
    <x v="0"/>
    <x v="105"/>
    <s v="ebessenyeiova"/>
    <s v="Vienna"/>
    <x v="1"/>
    <s v="SKant"/>
    <s v="UNDP"/>
    <n v="20242784"/>
    <x v="2"/>
    <x v="4"/>
    <s v="On 23-Jan-2025, the warehouse personel performed inbound of the shipment of Pyridoxine 50mg, tablets from SKant. On 13-Feb-2025, OP specialist sent an email to confirm the treceived quantity for the batch number WPY24013. The warehouse personnel confirmed the quantity is 3392, 2 more packs than stated on the packing list. On 25-Feb-2025, the warehouse personnel sent an email to reconfirm the quantities for batch WPY24013, 3390. The quantites were correct on the packing list and they made a mistake during counting at the inbound. Item code: 39026-WHOPQTB401"/>
    <s v="Human error. The warehouse personnel mixed up the numbers on the packing list. "/>
    <n v="0"/>
    <s v="Schachinger Quality department informed. Re-training will be conducted"/>
    <s v="N"/>
    <s v="N/A"/>
    <s v="N/A"/>
    <d v="2025-03-06T00:00:00"/>
  </r>
  <r>
    <s v="25-017"/>
    <x v="0"/>
    <x v="89"/>
    <s v="ntomasevic"/>
    <s v="Vienna"/>
    <x v="1"/>
    <s v="Venipharm"/>
    <s v="UNDP"/>
    <n v="20242065"/>
    <x v="3"/>
    <x v="5"/>
    <s v="Data logger report showed a temperature peak at 5.9 degrees. The temperature stayed below 15 degrees for a short period of time of approx. 1 h."/>
    <s v="Tempereture deviation occured during loading."/>
    <n v="0"/>
    <s v=" Supplier was asked to confirm that they have stability studies done to ensure that product can still be used, which they did."/>
    <s v="N"/>
    <s v="N/A"/>
    <s v="N/A"/>
    <d v="2025-01-08T00:00:00"/>
  </r>
  <r>
    <s v="25-018"/>
    <x v="0"/>
    <x v="92"/>
    <s v="ntomasevic"/>
    <s v="Vienna"/>
    <x v="1"/>
    <s v="Venipharm"/>
    <s v="UNDP"/>
    <n v="20242065"/>
    <x v="3"/>
    <x v="5"/>
    <s v="Short-term tempereture deviation occured during transport. 2 peaks were observed at 28.6 nad 30, 8 degrees. Temeprature declined below 25 degrees after approximeately 10 minutes.  "/>
    <s v="Could not determine the cause of the deviation, but it was a short-term deviation that did not affect the goods."/>
    <n v="0"/>
    <s v="Supplier was asked to confirm that they have stability studies done to ensure that product can still be used, which they did."/>
    <s v="N"/>
    <s v="N/A"/>
    <s v="N/A"/>
    <d v="2025-01-08T00:00:00"/>
  </r>
  <r>
    <s v="25-019"/>
    <x v="0"/>
    <x v="106"/>
    <s v="ntomasevic"/>
    <s v="Vienna"/>
    <x v="1"/>
    <s v="Crescent Pharma"/>
    <s v="UNDP"/>
    <n v="20242065"/>
    <x v="3"/>
    <x v="5"/>
    <s v="Data logger report showed a temperature peak at 10.3 degrees. The temperature stayed below 15 degrees for a few hours."/>
    <s v="Tempereture deviation occured during loading."/>
    <n v="0"/>
    <s v="Supplier was asked to confirm that they have stability studies done to ensure that product can still be used, which they did."/>
    <s v="N"/>
    <s v="N/A"/>
    <s v="N/A"/>
    <d v="2025-01-24T00:00:00"/>
  </r>
  <r>
    <s v="25-020"/>
    <x v="1"/>
    <x v="107"/>
    <s v="ntomasevic"/>
    <s v="Vienna"/>
    <x v="1"/>
    <s v="Südost Cargo"/>
    <s v="UNDP"/>
    <n v="20242472"/>
    <x v="3"/>
    <x v="5"/>
    <s v="Temperature deviations during outbound"/>
    <s v="According to our freight forwarder, their GDP partner at Vienna Airport mistook the check-in point for this shipment._x000a_Unfortunately, this resulted in the shipment missing its originally scheduled flight. We have been assured that shipment was kept into controlled temperature handling center and was rerouted to the right check in point at the airport. By the time second flight took off, the polyboxes could not keep temperature anymore."/>
    <n v="0"/>
    <s v="We have approached manufacturer to confirm if product can be released to the patient and used. Manfuacturer shared stability tests of the product confirming this. At the same time, we asked freight forwarder to clarify why the deviation happened. FF shared report as descibed in column L (how/why). "/>
    <s v="N"/>
    <s v="N/A"/>
    <s v="N/A"/>
    <d v="2025-01-22T00:00:00"/>
  </r>
  <r>
    <s v="25-021"/>
    <x v="0"/>
    <x v="108"/>
    <s v="ntomasevic"/>
    <s v="Vienna"/>
    <x v="1"/>
    <s v="Euromed Pharma"/>
    <s v="UNDP"/>
    <n v="20242363"/>
    <x v="2"/>
    <x v="4"/>
    <s v="Batch quantities did not match the quantities on a packing list sent by supplier"/>
    <s v="23.01.2025 Inbound email with checked packing list was received: 1) Carbamazepine, 200mg (Sofia item number: 36469-21880/0255 Total quantity 2,059). Batch quantities provided at inbound (booked in Sofia): B40981/ Qty: 14 and B40878/ Qty: 2045. 2) Diclofenac (sodium), 50mg, tablet (Sofia item number: 36469-21880/0194, Total quantity 1945). Batch quantities provided at inbound (booked in Sofia): D40472/ Qty: 1.785 and D40344/ Qty: 160._x000a__x000a_29.01.2025 Packing details received (goods are now packed and ready for shipment), however WH stated that Batches B40981 and D40344 do not exist at all, but that the total quantity is correct. I pointed out that it’s not possible, since Inbound email had checked packing list. Outbound team was unable confirm since Inbound team was on sick leave._x000a__x000a_27.02.2025 Request from warehouse to change packing list and batch quantity details. They checked pallets again and realized that there was another small package with mixed batches. Thy send me corrected number from their system._x000a_Batch quantities provided afterwards for Carbamazepine: B40981/ Qty: 19 and B40878: Qty: 2,040. Batch quantities provided afterwards for Diclofenac: D40472/ Qty: 1,921 and D40344/.Qty: 24_x000a_"/>
    <n v="0"/>
    <s v="We have requested from warehouse to provide PL from supplier with corrected numbers, so we can inform customer, correct BR certificate and can track bathces in case any issue upon delivery occurs._x000a__x000a_Schachinger Quality department informed. Re-training will be conducted"/>
    <s v="N"/>
    <s v="N/A"/>
    <s v="N/A"/>
    <d v="2025-03-04T00:00:00"/>
  </r>
  <r>
    <s v="25-022"/>
    <x v="1"/>
    <x v="109"/>
    <s v="Qaburayya"/>
    <s v="Vienna"/>
    <x v="1"/>
    <s v="Relonchem"/>
    <s v="action medeor"/>
    <n v="20242891"/>
    <x v="1"/>
    <x v="6"/>
    <s v="AMEX shipped by mistake the wrong pack size of the item"/>
    <s v="the item card on sofia was for pack size of 28 and the customer asked for a pack of 60, , that happened because two different pack sizes were under the same item number in SOFIA, so OP persone thought it was a duplication and did not notice the difference in pack size. "/>
    <s v="AMEX will cover the FF costs for the left quantity"/>
    <s v="AMEX  suggeted to calculate the difference and ship it to customer as packs of 60"/>
    <m/>
    <m/>
    <m/>
    <m/>
  </r>
  <r>
    <s v="25-023"/>
    <x v="1"/>
    <x v="110"/>
    <s v="lzhao"/>
    <s v="Vienna"/>
    <x v="0"/>
    <s v="Losberger "/>
    <s v="UNIDO"/>
    <n v="20240368"/>
    <x v="0"/>
    <x v="1"/>
    <s v="We are informed by the customer that one fluid bag (Item 7) is missing. The order is for 3, and all the documentation is for 3. But the end-user received only 2._x000a__x000a_On Mon 8/5/2024 Got the final confirmation from the customer to add a fluid bag from 2 to 3 and sent an email to the supplier._x000a_On Tue 8/6/2024 Received the confirmation that supplier managed to add one pcs of fluidbag in the packing list and invoice from the supplier all stated 3 Pcs in the package._x000a_On Tuesday, 8/6/2024, Asked CP to pick up from the supplier's warehouse. Unchanged any shipping package._x000a_On 1/10/2024 Asked CEVA logistic to make DAP shipment._x000a_On 24/01/2025 (Root of cause) Shipment delivereed to the end-user and we received the feedback that one fluid bag is missing. Informed the supplier on the same day. _x000a_On 06/02/2025 Received the feedback from the supplier to ship one fluid bag to the CP warehouse._x000a_On 10/03/2025 We shipped one fludi bag to the customer via TNT._x000a_On 31/03/2025 Delivered to the end-user."/>
    <s v="The supplier updated the quantity from 2 to 3 in their system when they received a request from our side. Unfortunately, they did't communate well with their warehouse to prepare an additional fluid bag physically in the warehouse._x000a_"/>
    <m/>
    <s v="We shipped one missing fludi bag to the end-user via TNT directly. "/>
    <s v="N"/>
    <s v="N/A"/>
    <s v="N/A"/>
    <s v="31/03/2025"/>
  </r>
  <r>
    <s v="25-024"/>
    <x v="1"/>
    <x v="111"/>
    <s v="ntomasevic"/>
    <s v="Vienna"/>
    <x v="1"/>
    <s v="Celtrion"/>
    <s v="UNDP"/>
    <n v="20243236"/>
    <x v="2"/>
    <x v="7"/>
    <s v="Customer informed us that one pack was damaged and not accepted. They sent photos and asked if it can be replaced or have credit note issued. _x000a__x000a_Note: 25-029 is a duplicate of this one"/>
    <s v="When the goods arrived in Vienna from the supplier, we recieved no reports that anything was damaged. Packs were then sent for repacking where they were only pallatesized although we requested validated pallet shippers, so they needed to be re-packed again. Since the pallet shippers that arrived at end destination were not damaged, the pack was probably damaged through this process. The person responsible for repacking left the company in the meantime, therefore we did not manage to clarify whether damaging occured during the repacking. "/>
    <s v=" 128.73 USD"/>
    <s v="Since the shipment of additional pack was not feasable (high costs), CO accepted credit memo."/>
    <m/>
    <m/>
    <m/>
    <d v="2025-03-03T00:00:00"/>
  </r>
  <r>
    <s v="25-025"/>
    <x v="1"/>
    <x v="112"/>
    <s v="kkanckova"/>
    <s v="Vienna"/>
    <x v="0"/>
    <s v="Innovative Diagnostics"/>
    <s v="IOM"/>
    <n v="20243126"/>
    <x v="1"/>
    <x v="5"/>
    <s v="Keep cool shipment was shipped without a data logger to IOM."/>
    <s v="AMEX OP FP didn´t request adding data logger in the dispatch order. "/>
    <s v="N/A"/>
    <s v="1. Checking with AMEX FF how was the shipment delivered and when was the shipemnt stored outside of required temperature 2-8°C._x000a_2. AMEX FP contacted manufacturer for stability report and statement._x000a_3. AMEX FP informed Sales and OP team to always include data loggers for future IOM temp.sensitive shipments._x000a__x000a_Manufacturer confirmed that the goods are stable up to 30°C . Customer was informed by AMEX and didn´t return with any further request."/>
    <s v="N"/>
    <m/>
    <m/>
    <d v="2025-04-04T00:00:00"/>
  </r>
  <r>
    <s v="25-026"/>
    <x v="0"/>
    <x v="113"/>
    <s v="lristic"/>
    <s v="Vienna"/>
    <x v="1"/>
    <s v="Ethypharm, Purepharm"/>
    <s v="N/A (Deviation on the internal process)"/>
    <s v="N/A (Deviation on the internal process)"/>
    <x v="1"/>
    <x v="4"/>
    <s v="On 31/03/2025, the Austrian Regulatory Authority, department responsible for controlled drugs, sent the Amendment Request for the Compliance Report for the Reporting Year 2024 to the Responsible Person. The amendment report referred to the exceeded maximal yearly quantities for handling narcotics, Buprenorphine and Tramadol."/>
    <s v="The SOP 2 Handling of Cytotoxic, Cytostatic and Controlled Drugs, version 3, section 4.2.4.1.1 Tracking of maximum allowed amount of handled controlled drugs, was misinterpreted. The “addition” is not an accurate translation of “Zugänge (Inlandsbezüge)”. The Quality Specialist missinterpreted the guideline and calculated only import quantites in this case. The understanding of “addition” was: If supplier by mistake sends any additional quantities of the controlled drug. Therefore the quantities were counted only once, instead of twice  . _x000a__x000a_"/>
    <n v="0"/>
    <s v="CAPA plan needed"/>
    <s v="Y"/>
    <m/>
    <s v="Preventative measures:_x000a__x000a_1._x0009_Update the SOP to provide a clearer definition of how the maximum quantity is calculated, including a more specific explanation of the term “addition (domestic purchase).” We aim to finalize this SOP update by 30.04.2025._x000a_2._x0009_Enhance CDs tracker to more accurately monitor narcotic quantities, enabling better visibility of usage data. We aim to finalize this update by 30.04.2025._x000a__x000a_Corrective measures: _x000a__x000a_PENDING AGES confirmation_x000a_"/>
    <m/>
  </r>
  <r>
    <s v="25-027"/>
    <x v="0"/>
    <x v="112"/>
    <s v="aperera"/>
    <s v="Vienna"/>
    <x v="1"/>
    <s v="Macleods"/>
    <s v="ICRC"/>
    <n v="20245448"/>
    <x v="1"/>
    <x v="5"/>
    <s v="Temperature deviations during transit for Artesunate Powder Solution for Injection 60mg. The product is 15-25, and there was a temperature deviation of 7 degrees from 4:00am to 7:00am (rose to 32 degrees and then dropped back down to 25). "/>
    <s v="Deviation occured during loading at origin - we checked and have determined it was from time of loading on site and the delivery to the airport.  A non-temperature controlled truck was used to deliver the goods from supplier warehouse to airport. We were not aware of this and have asked the forwarder to ensure it does not happen again. "/>
    <s v="N/A"/>
    <s v="Approached the manufacturer regarding the deviation, they said the product was still viable and could be used. Have asked the forwarder to ensure future shipments are with temp controlled truck"/>
    <s v="N"/>
    <m/>
    <m/>
    <d v="2025-04-04T00:00:00"/>
  </r>
  <r>
    <s v="25-028"/>
    <x v="0"/>
    <x v="71"/>
    <s v="cmanu"/>
    <s v="Vienna"/>
    <x v="0"/>
    <s v="Booking.com"/>
    <s v="NA"/>
    <s v="NA"/>
    <x v="1"/>
    <x v="10"/>
    <s v="Apartment was booked in advance for an intern that cancelled the trip. Booking.com did not refund the money due to late cancellation."/>
    <s v="The appartment was booked with a cancellation policy of 7 days prior the stay instead of a 24 h cancellation policy."/>
    <n v="6395.4"/>
    <s v="AMEX tried to negotiate with booking.com as well as with the hotel, but only some discounts for future bookings were negotiated."/>
    <s v="N"/>
    <s v="N/A"/>
    <s v="N/A"/>
    <d v="2025-04-08T00:00:00"/>
  </r>
  <r>
    <s v="25-029"/>
    <x v="1"/>
    <x v="111"/>
    <s v="ntomasevic"/>
    <s v="Vienna"/>
    <x v="1"/>
    <s v="Celltrion"/>
    <s v="UNDP"/>
    <n v="20243236"/>
    <x v="2"/>
    <x v="7"/>
    <s v="The customer resported that one of the packages were damed and not acceptable for use anymore."/>
    <s v="This order was shipped in large shipper pallets, therefore could not have been damaged during shippment. The damage occured probably during repacking stage, which had to be done twice as warehouse did not follow the inital repacking orders."/>
    <s v=" 128.73 USD"/>
    <s v="We issued credit memo for this 1 package"/>
    <s v="N"/>
    <s v="N/A"/>
    <s v="N/A"/>
    <d v="2025-03-03T00:00:00"/>
  </r>
  <r>
    <s v="25-030"/>
    <x v="0"/>
    <x v="114"/>
    <s v="ntomasevic"/>
    <s v="Vienna"/>
    <x v="1"/>
    <s v="Ovelle"/>
    <s v="UNDP"/>
    <n v="20242509"/>
    <x v="0"/>
    <x v="5"/>
    <s v="Data logger report showed temperature deviation ranging from 8 to 14 degrees throught transport with lowest peak at  3.6 degrees."/>
    <s v="Ovelle orginized freight as per agreed terms. The goods arrived in our warehouse in GDP certified truck, however non-temerature controlled."/>
    <n v="0"/>
    <s v=" Supplier was asked to confirm that they have stability studies done to ensure that product can still be used, which they did."/>
    <m/>
    <m/>
    <m/>
    <d v="2025-03-18T00:00:00"/>
  </r>
  <r>
    <s v="25-031"/>
    <x v="1"/>
    <x v="115"/>
    <s v="ebessenyeiova"/>
    <s v="Vienna"/>
    <x v="1"/>
    <s v="Accord"/>
    <s v="UNDP"/>
    <n v="20250469"/>
    <x v="1"/>
    <x v="5"/>
    <s v="UNDP reported temperature deviation to 13.4 °C. Product supplied during this shipment has been ambient temperature product with no special storage requirements as stated by the manufacturer. Shipment has been book 15-25°C shipment whenever possible. Product was palletised and pallet was wrapped with thermal blanket."/>
    <s v="Due to the low temperature at the end destination during unloading from the plane, temperature inside of the boxes dropped to 13 degrees. Packaging material was not sufficient for this weather conditions. "/>
    <n v="0"/>
    <s v="Manufacturer was contacted to confirm if product can be released for further use which was confirmed and official statement has been shared with UNDP."/>
    <s v="N"/>
    <s v="N/A"/>
    <s v="N/A"/>
    <d v="2025-04-10T00:00:00"/>
  </r>
  <r>
    <s v="25-032"/>
    <x v="1"/>
    <x v="116"/>
    <s v="ebessenyeiova"/>
    <s v="Vienna"/>
    <x v="1"/>
    <s v="Pfizer"/>
    <s v="UNDP"/>
    <n v="20241409"/>
    <x v="0"/>
    <x v="5"/>
    <s v="UNDP reported temperature deviation after delivery under INV25-00592 has been delivered. Shipment has been organised based on instructions from Pfizer as product has been packed in validated pallet shipper. In order not to face temperature shocked, initial pick up has been organised with temperature controlled truck set up to 15-25°C and the rest of the shipment under temperature  2-8°C whenever possible.  Temperature measured by DLs has been under 2°C during the whole transit time. The temperature excursion that occurred on April 07, 2025 was subjected to storage conditions down to +0.1 C for 2 days 5 hours 30 minutes. Goods were in transit for 4 days."/>
    <s v="Temperature recording showed that temperature was very stable during the whole transit but never reached 2°C. Supplier was approached to provide more details on how the gel packs were validated, how goods were packed and prepared for transit. Clarification and official statement from supplier is pending."/>
    <m/>
    <s v="Manufacturer was contacted to confirm if product can be used and released to patients. Manufacturer confirmed there is no impact on product and product can be used. Manufacturer has been approach to identify the root cause of this deviation."/>
    <s v="N"/>
    <s v="N/A"/>
    <s v="N/A"/>
    <m/>
  </r>
  <r>
    <s v="25-033"/>
    <x v="1"/>
    <x v="99"/>
    <s v="mmurillo"/>
    <s v="Vienna"/>
    <x v="0"/>
    <s v="Promega"/>
    <s v="IAEA"/>
    <n v="20242680"/>
    <x v="0"/>
    <x v="4"/>
    <s v="I sent Promega three orders, stating that the items were intended for IAEA Laboratories. They responded angrily, repeating that they only sell within Austria and cannot sell to us._x000a__x000a_For another project in Algeria, I also sent them a PO, which they later canceled. I didn’t pursue the matter further, as I mistakenly mentioned that the end destination was not in Austria."/>
    <s v="I then sent them a screenshot of the IAEA PO, which clearly states that the final destination is IAEA Seibersdorf Laboratories. They then requested that all items be combined into a single order, which I did and shared with them again. However, one month later, they informed me that they would not be selling us the goods._x000a__x000a_I then approached my Sales contact to discuss alternative sources for this item or a similar one. In December, I requested offers from various suppliers, including Thermo Fisher. _x000a_I eventually sent Thermo the PO for the 3 items, along with the EUS for Seibersdorf and the PO for Algeria with the required EUS. Thermo went silent, and only in March did they send me a response from their Export Team regarding the cancellation of these 2 orders._x000a__x000a_(Please let me know if I should forward you the Emails)_x000a__x000a_I finally agreed with IAEA that we would move to a similar item from another supplier, Qiagen in this case. _x000a_"/>
    <n v="0"/>
    <m/>
    <m/>
    <m/>
    <m/>
    <m/>
  </r>
  <r>
    <s v="25-034"/>
    <x v="1"/>
    <x v="108"/>
    <s v="mbisercic"/>
    <s v="Vienna"/>
    <x v="0"/>
    <s v="HEMC"/>
    <s v="Plan International"/>
    <n v="20243014"/>
    <x v="1"/>
    <x v="3"/>
    <s v="On 27/03/2025, Amex CEO had a meeting with a Supply Director of Plan International who mentioned that Amex had been delayed with the first delivery with them."/>
    <s v="Delay was caused by the restricted flights from India to Benin, which was communicated to the customer upfront. Size of cargo was approximatelly 8 pallets, which made restriction with commerical flights and Amex had to wait for the first flight available that would be able to fit this size of the cargo, which caused delay of 15 days."/>
    <m/>
    <s v="1._x0009_Amex learned that flights for Benin are restricted, especially considering bigger cargo – this is something we will consider for the future projects (at the moment we do have PO for Benin)_x000a_2._x0009_Amex will have a meeting with our freight forwarders and their local partners, to better understand logistic required for the country, which would help us with better planning_x000a_3._x0009_Amex should share thorough communication on cargo status and share timeline which include transit time"/>
    <m/>
    <m/>
    <m/>
    <d v="2025-04-04T00:00:00"/>
  </r>
  <r>
    <s v="25-035"/>
    <x v="1"/>
    <x v="117"/>
    <s v="mbisercic"/>
    <s v="Vienna"/>
    <x v="0"/>
    <s v="Promega"/>
    <s v="N/A"/>
    <s v="N/A"/>
    <x v="1"/>
    <x v="4"/>
    <s v="On 15/04/2025, Promega informed Amex about suspension of deliveries due to compliance requirements. "/>
    <s v="Under investigation_x000a_"/>
    <m/>
    <m/>
    <m/>
    <m/>
    <m/>
    <m/>
  </r>
  <r>
    <s v="25-036"/>
    <x v="0"/>
    <x v="118"/>
    <s v="ltussing"/>
    <s v="Vienna"/>
    <x v="0"/>
    <s v="Quantox"/>
    <s v="N/A"/>
    <s v="N/A"/>
    <x v="0"/>
    <x v="4"/>
    <s v="Missing functions from 22/04 Afternoon to 23/04 Morning - including Create offer button which prevented Sales Specialists from Creating the Offer"/>
    <s v="After an unscheduled deployment all customizations needing an extension in Business Central dissapeared, thus sales specialists not being able generate Offers from BC. "/>
    <m/>
    <s v="Subsequently as a preventive plan for future unscheduled deployments, they will be done at noon time and will have one AMEX User as well as a Quantox User to verify Integrity of the Standard Business Processes after successful deployment."/>
    <m/>
    <m/>
    <m/>
    <m/>
  </r>
  <r>
    <s v="25-037"/>
    <x v="0"/>
    <x v="119"/>
    <s v="lristic"/>
    <s v="Vienna"/>
    <x v="1"/>
    <s v="Multiple suppliers"/>
    <s v="Multiple customers"/>
    <s v="Multiple projects"/>
    <x v="2"/>
    <x v="5"/>
    <s v="On 24.02.2025 AMEX received following notification from Pharma warehouse:_x000a_Unfortunately, we have had an overtemperature in our warehouse in Hagenbrunn in halls I+J, where your products are stored. _x000a_The highest temperature was 28.5 °C (sensor MP11 O 3, Hall J)_x000a_Affected was the upper part of the hall (from about the middle of the hall to the roof)._x000a_The alarm first occurred on 22.04.2025 at 23:45 in the night._x000a_The temperatures have been stable again since around 10:30 am (23.04.2025) and are within the target range. _x000a_"/>
    <s v="CAPA report is pending from Schachinger (warehouse) quality team."/>
    <m/>
    <s v="1._x0009_Inform Schachinger to move all relevant items to quarantine._x000a_2._x0009_Notify the AMEX Pharma team and share the list of items placed in quarantine._x000a_3._x0009_Request Schachinger’s support in reviewing the quarantined items and identifying the storage conditions for each. Items with a storage condition of “up to 30°C” should be released from quarantine. Schachinger should also provide a list of all items that remain in quarantine._x000a_4._x0009_The Operations team should follow up with suppliers for each affected item to confirm whether the product is still safe for use._x000a_5._x0009_Request a CAPA report from Schachinger._x000a_"/>
    <m/>
    <m/>
    <m/>
    <s v="ongoing"/>
  </r>
  <r>
    <s v="25-038"/>
    <x v="1"/>
    <x v="120"/>
    <s v="ntomasevic"/>
    <s v="Vienna"/>
    <x v="1"/>
    <s v="Venus Remedis"/>
    <s v="UNDP"/>
    <n v="20242065"/>
    <x v="2"/>
    <x v="6"/>
    <s v="UNDP has reported that the truck carrying 28 pallets sent by AMEX has arrived in Turkmenistan. However, an additional box of Carboplatin, which was not ordered by UNDP, was included in the shipment. This item belongs to our framework oncology stock intended for UNICEF. The box was retained by customs and could not be returned to Austria due to the absence of shipping documentation."/>
    <s v="Under investigation."/>
    <s v="1811.01 USD"/>
    <s v="1. Requested confirmation from UNDP that the Carboplatin shipment will be officially destroyed._x000a_2. Requested Schachinger team to confirm whether 201 packs of Carboplatin (as calculated) are missing from our oncology stock._x000a_3. Requested the Schachinger team to investigate the incident and provide a detailed explanation of how the error occurred."/>
    <m/>
    <m/>
    <m/>
    <s v="Ongoing"/>
  </r>
  <r>
    <s v="25-039"/>
    <x v="3"/>
    <x v="40"/>
    <m/>
    <m/>
    <x v="2"/>
    <m/>
    <m/>
    <m/>
    <x v="5"/>
    <x v="8"/>
    <m/>
    <m/>
    <m/>
    <m/>
    <m/>
    <m/>
    <m/>
    <m/>
  </r>
  <r>
    <s v="25-040"/>
    <x v="3"/>
    <x v="40"/>
    <m/>
    <m/>
    <x v="2"/>
    <m/>
    <m/>
    <m/>
    <x v="5"/>
    <x v="8"/>
    <m/>
    <m/>
    <m/>
    <m/>
    <m/>
    <m/>
    <m/>
    <m/>
  </r>
  <r>
    <s v="25-041"/>
    <x v="3"/>
    <x v="40"/>
    <m/>
    <m/>
    <x v="2"/>
    <m/>
    <m/>
    <m/>
    <x v="5"/>
    <x v="8"/>
    <m/>
    <m/>
    <m/>
    <m/>
    <m/>
    <m/>
    <m/>
    <m/>
  </r>
  <r>
    <s v="25-042"/>
    <x v="3"/>
    <x v="40"/>
    <m/>
    <m/>
    <x v="2"/>
    <m/>
    <m/>
    <m/>
    <x v="5"/>
    <x v="8"/>
    <m/>
    <m/>
    <m/>
    <m/>
    <m/>
    <m/>
    <m/>
    <m/>
  </r>
  <r>
    <s v="25-043"/>
    <x v="3"/>
    <x v="40"/>
    <m/>
    <m/>
    <x v="2"/>
    <m/>
    <m/>
    <m/>
    <x v="5"/>
    <x v="8"/>
    <m/>
    <m/>
    <m/>
    <m/>
    <m/>
    <m/>
    <m/>
    <m/>
  </r>
  <r>
    <s v="25-044"/>
    <x v="3"/>
    <x v="40"/>
    <m/>
    <m/>
    <x v="2"/>
    <m/>
    <m/>
    <m/>
    <x v="5"/>
    <x v="8"/>
    <m/>
    <m/>
    <m/>
    <m/>
    <m/>
    <m/>
    <m/>
    <m/>
  </r>
  <r>
    <s v="25-045"/>
    <x v="3"/>
    <x v="40"/>
    <m/>
    <m/>
    <x v="2"/>
    <m/>
    <m/>
    <m/>
    <x v="5"/>
    <x v="8"/>
    <m/>
    <m/>
    <m/>
    <m/>
    <m/>
    <m/>
    <m/>
    <m/>
  </r>
  <r>
    <s v="25-046"/>
    <x v="3"/>
    <x v="40"/>
    <m/>
    <m/>
    <x v="2"/>
    <m/>
    <m/>
    <m/>
    <x v="5"/>
    <x v="8"/>
    <m/>
    <m/>
    <m/>
    <m/>
    <m/>
    <m/>
    <m/>
    <m/>
  </r>
  <r>
    <s v="25-047"/>
    <x v="3"/>
    <x v="40"/>
    <m/>
    <m/>
    <x v="2"/>
    <m/>
    <m/>
    <m/>
    <x v="5"/>
    <x v="8"/>
    <m/>
    <m/>
    <m/>
    <m/>
    <m/>
    <m/>
    <m/>
    <m/>
  </r>
  <r>
    <s v="25-048"/>
    <x v="3"/>
    <x v="40"/>
    <m/>
    <m/>
    <x v="2"/>
    <m/>
    <m/>
    <m/>
    <x v="5"/>
    <x v="8"/>
    <m/>
    <m/>
    <m/>
    <m/>
    <m/>
    <m/>
    <m/>
    <m/>
  </r>
  <r>
    <s v="25-049"/>
    <x v="3"/>
    <x v="40"/>
    <m/>
    <m/>
    <x v="2"/>
    <m/>
    <m/>
    <m/>
    <x v="5"/>
    <x v="8"/>
    <m/>
    <m/>
    <m/>
    <m/>
    <m/>
    <m/>
    <m/>
    <m/>
  </r>
  <r>
    <s v="25-050"/>
    <x v="3"/>
    <x v="40"/>
    <m/>
    <m/>
    <x v="2"/>
    <m/>
    <m/>
    <m/>
    <x v="5"/>
    <x v="8"/>
    <m/>
    <m/>
    <m/>
    <m/>
    <m/>
    <m/>
    <m/>
    <m/>
  </r>
  <r>
    <s v="25-051"/>
    <x v="3"/>
    <x v="40"/>
    <m/>
    <m/>
    <x v="2"/>
    <m/>
    <m/>
    <m/>
    <x v="5"/>
    <x v="8"/>
    <m/>
    <m/>
    <m/>
    <m/>
    <m/>
    <m/>
    <m/>
    <m/>
  </r>
  <r>
    <s v="25-052"/>
    <x v="3"/>
    <x v="40"/>
    <m/>
    <m/>
    <x v="2"/>
    <m/>
    <m/>
    <m/>
    <x v="5"/>
    <x v="8"/>
    <m/>
    <m/>
    <m/>
    <m/>
    <m/>
    <m/>
    <m/>
    <m/>
  </r>
  <r>
    <s v="25-053"/>
    <x v="3"/>
    <x v="40"/>
    <m/>
    <m/>
    <x v="2"/>
    <m/>
    <m/>
    <m/>
    <x v="5"/>
    <x v="8"/>
    <m/>
    <m/>
    <m/>
    <m/>
    <m/>
    <m/>
    <m/>
    <m/>
  </r>
  <r>
    <s v="25-054"/>
    <x v="3"/>
    <x v="40"/>
    <m/>
    <m/>
    <x v="2"/>
    <m/>
    <m/>
    <m/>
    <x v="5"/>
    <x v="8"/>
    <m/>
    <m/>
    <m/>
    <m/>
    <m/>
    <m/>
    <m/>
    <m/>
  </r>
  <r>
    <s v="25-055"/>
    <x v="3"/>
    <x v="40"/>
    <m/>
    <m/>
    <x v="2"/>
    <m/>
    <m/>
    <m/>
    <x v="5"/>
    <x v="8"/>
    <m/>
    <m/>
    <m/>
    <m/>
    <m/>
    <m/>
    <m/>
    <m/>
  </r>
  <r>
    <s v="25-056"/>
    <x v="3"/>
    <x v="40"/>
    <m/>
    <m/>
    <x v="2"/>
    <m/>
    <m/>
    <m/>
    <x v="5"/>
    <x v="8"/>
    <m/>
    <m/>
    <m/>
    <m/>
    <m/>
    <m/>
    <m/>
    <m/>
  </r>
  <r>
    <s v="25-057"/>
    <x v="3"/>
    <x v="40"/>
    <m/>
    <m/>
    <x v="2"/>
    <m/>
    <m/>
    <m/>
    <x v="5"/>
    <x v="8"/>
    <m/>
    <m/>
    <m/>
    <m/>
    <m/>
    <m/>
    <m/>
    <m/>
  </r>
  <r>
    <s v="25-058"/>
    <x v="3"/>
    <x v="40"/>
    <m/>
    <m/>
    <x v="2"/>
    <m/>
    <m/>
    <m/>
    <x v="5"/>
    <x v="8"/>
    <m/>
    <m/>
    <m/>
    <m/>
    <m/>
    <m/>
    <m/>
    <m/>
  </r>
  <r>
    <s v="25-059"/>
    <x v="3"/>
    <x v="40"/>
    <m/>
    <m/>
    <x v="2"/>
    <m/>
    <m/>
    <m/>
    <x v="5"/>
    <x v="8"/>
    <m/>
    <m/>
    <m/>
    <m/>
    <m/>
    <m/>
    <m/>
    <m/>
  </r>
  <r>
    <s v="25-060"/>
    <x v="3"/>
    <x v="40"/>
    <m/>
    <m/>
    <x v="2"/>
    <m/>
    <m/>
    <m/>
    <x v="5"/>
    <x v="8"/>
    <m/>
    <m/>
    <m/>
    <m/>
    <m/>
    <m/>
    <m/>
    <m/>
  </r>
  <r>
    <s v="25-061"/>
    <x v="3"/>
    <x v="40"/>
    <m/>
    <m/>
    <x v="2"/>
    <m/>
    <m/>
    <m/>
    <x v="5"/>
    <x v="8"/>
    <m/>
    <m/>
    <m/>
    <m/>
    <m/>
    <m/>
    <m/>
    <m/>
  </r>
  <r>
    <s v="25-062"/>
    <x v="3"/>
    <x v="40"/>
    <m/>
    <m/>
    <x v="2"/>
    <m/>
    <m/>
    <m/>
    <x v="5"/>
    <x v="8"/>
    <m/>
    <m/>
    <m/>
    <m/>
    <m/>
    <m/>
    <m/>
    <m/>
  </r>
  <r>
    <s v="25-063"/>
    <x v="3"/>
    <x v="40"/>
    <m/>
    <m/>
    <x v="2"/>
    <m/>
    <m/>
    <m/>
    <x v="5"/>
    <x v="8"/>
    <m/>
    <m/>
    <m/>
    <m/>
    <m/>
    <m/>
    <m/>
    <m/>
  </r>
  <r>
    <s v="25-064"/>
    <x v="3"/>
    <x v="40"/>
    <m/>
    <m/>
    <x v="2"/>
    <m/>
    <m/>
    <m/>
    <x v="5"/>
    <x v="8"/>
    <m/>
    <m/>
    <m/>
    <m/>
    <m/>
    <m/>
    <m/>
    <m/>
  </r>
  <r>
    <s v="25-065"/>
    <x v="3"/>
    <x v="40"/>
    <m/>
    <m/>
    <x v="2"/>
    <m/>
    <m/>
    <m/>
    <x v="5"/>
    <x v="8"/>
    <m/>
    <m/>
    <m/>
    <m/>
    <m/>
    <m/>
    <m/>
    <m/>
  </r>
  <r>
    <s v="25-066"/>
    <x v="3"/>
    <x v="40"/>
    <m/>
    <m/>
    <x v="2"/>
    <m/>
    <m/>
    <m/>
    <x v="5"/>
    <x v="8"/>
    <m/>
    <m/>
    <m/>
    <m/>
    <m/>
    <m/>
    <m/>
    <m/>
  </r>
  <r>
    <s v="25-067"/>
    <x v="3"/>
    <x v="40"/>
    <m/>
    <m/>
    <x v="2"/>
    <m/>
    <m/>
    <m/>
    <x v="5"/>
    <x v="8"/>
    <m/>
    <m/>
    <m/>
    <m/>
    <m/>
    <m/>
    <m/>
    <m/>
  </r>
  <r>
    <s v="25-068"/>
    <x v="3"/>
    <x v="40"/>
    <m/>
    <m/>
    <x v="2"/>
    <m/>
    <m/>
    <m/>
    <x v="5"/>
    <x v="8"/>
    <m/>
    <m/>
    <m/>
    <m/>
    <m/>
    <m/>
    <m/>
    <m/>
  </r>
  <r>
    <s v="25-069"/>
    <x v="3"/>
    <x v="40"/>
    <m/>
    <m/>
    <x v="2"/>
    <m/>
    <m/>
    <m/>
    <x v="5"/>
    <x v="8"/>
    <m/>
    <m/>
    <m/>
    <m/>
    <m/>
    <m/>
    <m/>
    <m/>
  </r>
  <r>
    <s v="25-070"/>
    <x v="3"/>
    <x v="40"/>
    <m/>
    <m/>
    <x v="2"/>
    <m/>
    <m/>
    <m/>
    <x v="5"/>
    <x v="8"/>
    <m/>
    <m/>
    <m/>
    <m/>
    <m/>
    <m/>
    <m/>
    <m/>
  </r>
  <r>
    <s v="25-071"/>
    <x v="3"/>
    <x v="40"/>
    <m/>
    <m/>
    <x v="2"/>
    <m/>
    <m/>
    <m/>
    <x v="5"/>
    <x v="8"/>
    <m/>
    <m/>
    <m/>
    <m/>
    <m/>
    <m/>
    <m/>
    <m/>
  </r>
  <r>
    <s v="25-072"/>
    <x v="3"/>
    <x v="40"/>
    <m/>
    <m/>
    <x v="2"/>
    <m/>
    <m/>
    <m/>
    <x v="5"/>
    <x v="8"/>
    <m/>
    <m/>
    <m/>
    <m/>
    <m/>
    <m/>
    <m/>
    <m/>
  </r>
  <r>
    <s v="25-073"/>
    <x v="3"/>
    <x v="40"/>
    <m/>
    <m/>
    <x v="2"/>
    <m/>
    <m/>
    <m/>
    <x v="5"/>
    <x v="8"/>
    <m/>
    <m/>
    <m/>
    <m/>
    <m/>
    <m/>
    <m/>
    <m/>
  </r>
  <r>
    <s v="25-074"/>
    <x v="3"/>
    <x v="40"/>
    <m/>
    <m/>
    <x v="2"/>
    <m/>
    <m/>
    <m/>
    <x v="5"/>
    <x v="8"/>
    <m/>
    <m/>
    <m/>
    <m/>
    <m/>
    <m/>
    <m/>
    <m/>
  </r>
  <r>
    <s v="25-075"/>
    <x v="3"/>
    <x v="40"/>
    <m/>
    <m/>
    <x v="2"/>
    <m/>
    <m/>
    <m/>
    <x v="5"/>
    <x v="8"/>
    <m/>
    <m/>
    <m/>
    <m/>
    <m/>
    <m/>
    <m/>
    <m/>
  </r>
  <r>
    <s v="25-076"/>
    <x v="3"/>
    <x v="40"/>
    <m/>
    <m/>
    <x v="2"/>
    <m/>
    <m/>
    <m/>
    <x v="5"/>
    <x v="8"/>
    <m/>
    <m/>
    <m/>
    <m/>
    <m/>
    <m/>
    <m/>
    <m/>
  </r>
  <r>
    <s v="25-077"/>
    <x v="3"/>
    <x v="40"/>
    <m/>
    <m/>
    <x v="2"/>
    <m/>
    <m/>
    <m/>
    <x v="5"/>
    <x v="8"/>
    <m/>
    <m/>
    <m/>
    <m/>
    <m/>
    <m/>
    <m/>
    <m/>
  </r>
  <r>
    <s v="25-078"/>
    <x v="3"/>
    <x v="40"/>
    <m/>
    <m/>
    <x v="2"/>
    <m/>
    <m/>
    <m/>
    <x v="5"/>
    <x v="8"/>
    <m/>
    <m/>
    <m/>
    <m/>
    <m/>
    <m/>
    <m/>
    <m/>
  </r>
  <r>
    <s v="25-079"/>
    <x v="3"/>
    <x v="40"/>
    <m/>
    <m/>
    <x v="2"/>
    <m/>
    <m/>
    <m/>
    <x v="5"/>
    <x v="8"/>
    <m/>
    <m/>
    <m/>
    <m/>
    <m/>
    <m/>
    <m/>
    <m/>
  </r>
  <r>
    <s v="25-080"/>
    <x v="3"/>
    <x v="40"/>
    <m/>
    <m/>
    <x v="2"/>
    <m/>
    <m/>
    <m/>
    <x v="5"/>
    <x v="8"/>
    <m/>
    <m/>
    <m/>
    <m/>
    <m/>
    <m/>
    <m/>
    <m/>
  </r>
  <r>
    <s v="25-081"/>
    <x v="3"/>
    <x v="40"/>
    <m/>
    <m/>
    <x v="2"/>
    <m/>
    <m/>
    <m/>
    <x v="5"/>
    <x v="8"/>
    <m/>
    <m/>
    <m/>
    <m/>
    <m/>
    <m/>
    <m/>
    <m/>
  </r>
  <r>
    <s v="25-082"/>
    <x v="3"/>
    <x v="40"/>
    <m/>
    <m/>
    <x v="2"/>
    <m/>
    <m/>
    <m/>
    <x v="5"/>
    <x v="8"/>
    <m/>
    <m/>
    <m/>
    <m/>
    <m/>
    <m/>
    <m/>
    <m/>
  </r>
  <r>
    <s v="25-083"/>
    <x v="3"/>
    <x v="40"/>
    <m/>
    <m/>
    <x v="2"/>
    <m/>
    <m/>
    <m/>
    <x v="5"/>
    <x v="8"/>
    <m/>
    <m/>
    <m/>
    <m/>
    <m/>
    <m/>
    <m/>
    <m/>
  </r>
  <r>
    <s v="25-084"/>
    <x v="3"/>
    <x v="40"/>
    <m/>
    <m/>
    <x v="2"/>
    <m/>
    <m/>
    <m/>
    <x v="5"/>
    <x v="8"/>
    <m/>
    <m/>
    <m/>
    <m/>
    <m/>
    <m/>
    <m/>
    <m/>
  </r>
  <r>
    <s v="25-085"/>
    <x v="3"/>
    <x v="40"/>
    <m/>
    <m/>
    <x v="2"/>
    <m/>
    <m/>
    <m/>
    <x v="5"/>
    <x v="8"/>
    <m/>
    <m/>
    <m/>
    <m/>
    <m/>
    <m/>
    <m/>
    <m/>
  </r>
  <r>
    <s v="25-086"/>
    <x v="3"/>
    <x v="40"/>
    <m/>
    <m/>
    <x v="2"/>
    <m/>
    <m/>
    <m/>
    <x v="5"/>
    <x v="8"/>
    <m/>
    <m/>
    <m/>
    <m/>
    <m/>
    <m/>
    <m/>
    <m/>
  </r>
  <r>
    <s v="25-087"/>
    <x v="3"/>
    <x v="40"/>
    <m/>
    <m/>
    <x v="2"/>
    <m/>
    <m/>
    <m/>
    <x v="5"/>
    <x v="8"/>
    <m/>
    <m/>
    <m/>
    <m/>
    <m/>
    <m/>
    <m/>
    <m/>
  </r>
  <r>
    <s v="25-088"/>
    <x v="3"/>
    <x v="40"/>
    <m/>
    <m/>
    <x v="2"/>
    <m/>
    <m/>
    <m/>
    <x v="5"/>
    <x v="8"/>
    <m/>
    <m/>
    <m/>
    <m/>
    <m/>
    <m/>
    <m/>
    <m/>
  </r>
  <r>
    <s v="25-089"/>
    <x v="3"/>
    <x v="40"/>
    <m/>
    <m/>
    <x v="2"/>
    <m/>
    <m/>
    <m/>
    <x v="5"/>
    <x v="8"/>
    <m/>
    <m/>
    <m/>
    <m/>
    <m/>
    <m/>
    <m/>
    <m/>
  </r>
  <r>
    <s v="25-090"/>
    <x v="3"/>
    <x v="40"/>
    <m/>
    <m/>
    <x v="2"/>
    <m/>
    <m/>
    <m/>
    <x v="5"/>
    <x v="8"/>
    <m/>
    <m/>
    <m/>
    <m/>
    <m/>
    <m/>
    <m/>
    <m/>
  </r>
  <r>
    <s v="25-091"/>
    <x v="3"/>
    <x v="40"/>
    <m/>
    <m/>
    <x v="2"/>
    <m/>
    <m/>
    <m/>
    <x v="5"/>
    <x v="8"/>
    <m/>
    <m/>
    <m/>
    <m/>
    <m/>
    <m/>
    <m/>
    <m/>
  </r>
  <r>
    <s v="25-092"/>
    <x v="3"/>
    <x v="40"/>
    <m/>
    <m/>
    <x v="2"/>
    <m/>
    <m/>
    <m/>
    <x v="5"/>
    <x v="8"/>
    <m/>
    <m/>
    <m/>
    <m/>
    <m/>
    <m/>
    <m/>
    <m/>
  </r>
  <r>
    <s v="25-093"/>
    <x v="3"/>
    <x v="40"/>
    <m/>
    <m/>
    <x v="2"/>
    <m/>
    <m/>
    <m/>
    <x v="5"/>
    <x v="8"/>
    <m/>
    <m/>
    <m/>
    <m/>
    <m/>
    <m/>
    <m/>
    <m/>
  </r>
  <r>
    <s v="25-094"/>
    <x v="3"/>
    <x v="40"/>
    <m/>
    <m/>
    <x v="2"/>
    <m/>
    <m/>
    <m/>
    <x v="5"/>
    <x v="8"/>
    <m/>
    <m/>
    <m/>
    <m/>
    <m/>
    <m/>
    <m/>
    <m/>
  </r>
  <r>
    <s v="25-095"/>
    <x v="3"/>
    <x v="40"/>
    <m/>
    <m/>
    <x v="2"/>
    <m/>
    <m/>
    <m/>
    <x v="5"/>
    <x v="8"/>
    <m/>
    <m/>
    <m/>
    <m/>
    <m/>
    <m/>
    <m/>
    <m/>
  </r>
  <r>
    <s v="25-096"/>
    <x v="3"/>
    <x v="40"/>
    <m/>
    <m/>
    <x v="2"/>
    <m/>
    <m/>
    <m/>
    <x v="5"/>
    <x v="8"/>
    <m/>
    <m/>
    <m/>
    <m/>
    <m/>
    <m/>
    <m/>
    <m/>
  </r>
  <r>
    <s v="25-097"/>
    <x v="3"/>
    <x v="40"/>
    <m/>
    <m/>
    <x v="2"/>
    <m/>
    <m/>
    <m/>
    <x v="5"/>
    <x v="8"/>
    <m/>
    <m/>
    <m/>
    <m/>
    <m/>
    <m/>
    <m/>
    <m/>
  </r>
  <r>
    <s v="25-098"/>
    <x v="3"/>
    <x v="40"/>
    <m/>
    <m/>
    <x v="2"/>
    <m/>
    <m/>
    <m/>
    <x v="5"/>
    <x v="8"/>
    <m/>
    <m/>
    <m/>
    <m/>
    <m/>
    <m/>
    <m/>
    <m/>
  </r>
  <r>
    <s v="25-099"/>
    <x v="3"/>
    <x v="40"/>
    <m/>
    <m/>
    <x v="2"/>
    <m/>
    <m/>
    <m/>
    <x v="5"/>
    <x v="8"/>
    <m/>
    <m/>
    <m/>
    <m/>
    <m/>
    <m/>
    <m/>
    <m/>
  </r>
  <r>
    <s v="25-100"/>
    <x v="3"/>
    <x v="40"/>
    <m/>
    <m/>
    <x v="2"/>
    <m/>
    <m/>
    <m/>
    <x v="5"/>
    <x v="8"/>
    <m/>
    <m/>
    <m/>
    <m/>
    <m/>
    <m/>
    <m/>
    <m/>
  </r>
  <r>
    <s v="25-101"/>
    <x v="3"/>
    <x v="40"/>
    <m/>
    <m/>
    <x v="2"/>
    <m/>
    <m/>
    <m/>
    <x v="5"/>
    <x v="8"/>
    <m/>
    <m/>
    <m/>
    <m/>
    <m/>
    <m/>
    <m/>
    <m/>
  </r>
  <r>
    <s v="25-102"/>
    <x v="3"/>
    <x v="40"/>
    <m/>
    <m/>
    <x v="2"/>
    <m/>
    <m/>
    <m/>
    <x v="5"/>
    <x v="8"/>
    <m/>
    <m/>
    <m/>
    <m/>
    <m/>
    <m/>
    <m/>
    <m/>
  </r>
  <r>
    <s v="25-103"/>
    <x v="3"/>
    <x v="40"/>
    <m/>
    <m/>
    <x v="2"/>
    <m/>
    <m/>
    <m/>
    <x v="5"/>
    <x v="8"/>
    <m/>
    <m/>
    <m/>
    <m/>
    <m/>
    <m/>
    <m/>
    <m/>
  </r>
  <r>
    <s v="25-104"/>
    <x v="3"/>
    <x v="40"/>
    <m/>
    <m/>
    <x v="2"/>
    <m/>
    <m/>
    <m/>
    <x v="5"/>
    <x v="8"/>
    <m/>
    <m/>
    <m/>
    <m/>
    <m/>
    <m/>
    <m/>
    <m/>
  </r>
  <r>
    <s v="25-105"/>
    <x v="3"/>
    <x v="40"/>
    <m/>
    <m/>
    <x v="2"/>
    <m/>
    <m/>
    <m/>
    <x v="5"/>
    <x v="8"/>
    <m/>
    <m/>
    <m/>
    <m/>
    <m/>
    <m/>
    <m/>
    <m/>
  </r>
  <r>
    <s v="25-106"/>
    <x v="3"/>
    <x v="40"/>
    <m/>
    <m/>
    <x v="2"/>
    <m/>
    <m/>
    <m/>
    <x v="5"/>
    <x v="8"/>
    <m/>
    <m/>
    <m/>
    <m/>
    <m/>
    <m/>
    <m/>
    <m/>
  </r>
  <r>
    <s v="25-107"/>
    <x v="3"/>
    <x v="40"/>
    <m/>
    <m/>
    <x v="2"/>
    <m/>
    <m/>
    <m/>
    <x v="5"/>
    <x v="8"/>
    <m/>
    <m/>
    <m/>
    <m/>
    <m/>
    <m/>
    <m/>
    <m/>
  </r>
  <r>
    <s v="25-108"/>
    <x v="3"/>
    <x v="40"/>
    <m/>
    <m/>
    <x v="2"/>
    <m/>
    <m/>
    <m/>
    <x v="5"/>
    <x v="8"/>
    <m/>
    <m/>
    <m/>
    <m/>
    <m/>
    <m/>
    <m/>
    <m/>
  </r>
  <r>
    <s v="25-109"/>
    <x v="3"/>
    <x v="40"/>
    <m/>
    <m/>
    <x v="2"/>
    <m/>
    <m/>
    <m/>
    <x v="5"/>
    <x v="8"/>
    <m/>
    <m/>
    <m/>
    <m/>
    <m/>
    <m/>
    <m/>
    <m/>
  </r>
  <r>
    <s v="25-110"/>
    <x v="3"/>
    <x v="40"/>
    <m/>
    <m/>
    <x v="2"/>
    <m/>
    <m/>
    <m/>
    <x v="5"/>
    <x v="8"/>
    <m/>
    <m/>
    <m/>
    <m/>
    <m/>
    <m/>
    <m/>
    <m/>
  </r>
  <r>
    <s v="25-111"/>
    <x v="3"/>
    <x v="40"/>
    <m/>
    <m/>
    <x v="2"/>
    <m/>
    <m/>
    <m/>
    <x v="5"/>
    <x v="8"/>
    <m/>
    <m/>
    <m/>
    <m/>
    <m/>
    <m/>
    <m/>
    <m/>
  </r>
  <r>
    <s v="25-112"/>
    <x v="3"/>
    <x v="40"/>
    <m/>
    <m/>
    <x v="2"/>
    <m/>
    <m/>
    <m/>
    <x v="5"/>
    <x v="8"/>
    <m/>
    <m/>
    <m/>
    <m/>
    <m/>
    <m/>
    <m/>
    <m/>
  </r>
  <r>
    <s v="25-113"/>
    <x v="3"/>
    <x v="40"/>
    <m/>
    <m/>
    <x v="2"/>
    <m/>
    <m/>
    <m/>
    <x v="5"/>
    <x v="8"/>
    <m/>
    <m/>
    <m/>
    <m/>
    <m/>
    <m/>
    <m/>
    <m/>
  </r>
  <r>
    <s v="25-114"/>
    <x v="3"/>
    <x v="40"/>
    <m/>
    <m/>
    <x v="2"/>
    <m/>
    <m/>
    <m/>
    <x v="5"/>
    <x v="8"/>
    <m/>
    <m/>
    <m/>
    <m/>
    <m/>
    <m/>
    <m/>
    <m/>
  </r>
  <r>
    <s v="25-115"/>
    <x v="3"/>
    <x v="40"/>
    <m/>
    <m/>
    <x v="2"/>
    <m/>
    <m/>
    <m/>
    <x v="5"/>
    <x v="8"/>
    <m/>
    <m/>
    <m/>
    <m/>
    <m/>
    <m/>
    <m/>
    <m/>
  </r>
  <r>
    <s v="25-116"/>
    <x v="3"/>
    <x v="40"/>
    <m/>
    <m/>
    <x v="2"/>
    <m/>
    <m/>
    <m/>
    <x v="5"/>
    <x v="8"/>
    <m/>
    <m/>
    <m/>
    <m/>
    <m/>
    <m/>
    <m/>
    <m/>
  </r>
  <r>
    <s v="25-117"/>
    <x v="3"/>
    <x v="40"/>
    <m/>
    <m/>
    <x v="2"/>
    <m/>
    <m/>
    <m/>
    <x v="5"/>
    <x v="8"/>
    <m/>
    <m/>
    <m/>
    <m/>
    <m/>
    <m/>
    <m/>
    <m/>
  </r>
  <r>
    <s v="25-118"/>
    <x v="3"/>
    <x v="40"/>
    <m/>
    <m/>
    <x v="2"/>
    <m/>
    <m/>
    <m/>
    <x v="5"/>
    <x v="8"/>
    <m/>
    <m/>
    <m/>
    <m/>
    <m/>
    <m/>
    <m/>
    <m/>
  </r>
  <r>
    <s v="25-119"/>
    <x v="3"/>
    <x v="40"/>
    <m/>
    <m/>
    <x v="2"/>
    <m/>
    <m/>
    <m/>
    <x v="5"/>
    <x v="8"/>
    <m/>
    <m/>
    <m/>
    <m/>
    <m/>
    <m/>
    <m/>
    <m/>
  </r>
  <r>
    <s v="25-120"/>
    <x v="3"/>
    <x v="40"/>
    <m/>
    <m/>
    <x v="2"/>
    <m/>
    <m/>
    <m/>
    <x v="5"/>
    <x v="8"/>
    <m/>
    <m/>
    <m/>
    <m/>
    <m/>
    <m/>
    <m/>
    <m/>
  </r>
  <r>
    <s v="25-121"/>
    <x v="3"/>
    <x v="40"/>
    <m/>
    <m/>
    <x v="2"/>
    <m/>
    <m/>
    <m/>
    <x v="5"/>
    <x v="8"/>
    <m/>
    <m/>
    <m/>
    <m/>
    <m/>
    <m/>
    <m/>
    <m/>
  </r>
  <r>
    <s v="25-122"/>
    <x v="3"/>
    <x v="40"/>
    <m/>
    <m/>
    <x v="2"/>
    <m/>
    <m/>
    <m/>
    <x v="5"/>
    <x v="8"/>
    <m/>
    <m/>
    <m/>
    <m/>
    <m/>
    <m/>
    <m/>
    <m/>
  </r>
  <r>
    <s v="25-123"/>
    <x v="3"/>
    <x v="40"/>
    <m/>
    <m/>
    <x v="2"/>
    <m/>
    <m/>
    <m/>
    <x v="5"/>
    <x v="8"/>
    <m/>
    <m/>
    <m/>
    <m/>
    <m/>
    <m/>
    <m/>
    <m/>
  </r>
  <r>
    <s v="25-124"/>
    <x v="3"/>
    <x v="40"/>
    <m/>
    <m/>
    <x v="2"/>
    <m/>
    <m/>
    <m/>
    <x v="5"/>
    <x v="8"/>
    <m/>
    <m/>
    <m/>
    <m/>
    <m/>
    <m/>
    <m/>
    <m/>
  </r>
  <r>
    <s v="25-125"/>
    <x v="3"/>
    <x v="40"/>
    <m/>
    <m/>
    <x v="2"/>
    <m/>
    <m/>
    <m/>
    <x v="5"/>
    <x v="8"/>
    <m/>
    <m/>
    <m/>
    <m/>
    <m/>
    <m/>
    <m/>
    <m/>
  </r>
  <r>
    <s v="25-126"/>
    <x v="3"/>
    <x v="40"/>
    <m/>
    <m/>
    <x v="2"/>
    <m/>
    <m/>
    <m/>
    <x v="5"/>
    <x v="8"/>
    <m/>
    <m/>
    <m/>
    <m/>
    <m/>
    <m/>
    <m/>
    <m/>
  </r>
  <r>
    <s v="25-127"/>
    <x v="3"/>
    <x v="40"/>
    <m/>
    <m/>
    <x v="2"/>
    <m/>
    <m/>
    <m/>
    <x v="5"/>
    <x v="8"/>
    <m/>
    <m/>
    <m/>
    <m/>
    <m/>
    <m/>
    <m/>
    <m/>
  </r>
  <r>
    <s v="25-128"/>
    <x v="3"/>
    <x v="40"/>
    <m/>
    <m/>
    <x v="2"/>
    <m/>
    <m/>
    <m/>
    <x v="5"/>
    <x v="8"/>
    <m/>
    <m/>
    <m/>
    <m/>
    <m/>
    <m/>
    <m/>
    <m/>
  </r>
  <r>
    <s v="25-129"/>
    <x v="3"/>
    <x v="40"/>
    <m/>
    <m/>
    <x v="2"/>
    <m/>
    <m/>
    <m/>
    <x v="5"/>
    <x v="8"/>
    <m/>
    <m/>
    <m/>
    <m/>
    <m/>
    <m/>
    <m/>
    <m/>
  </r>
  <r>
    <s v="25-130"/>
    <x v="3"/>
    <x v="40"/>
    <m/>
    <m/>
    <x v="2"/>
    <m/>
    <m/>
    <m/>
    <x v="5"/>
    <x v="8"/>
    <m/>
    <m/>
    <m/>
    <m/>
    <m/>
    <m/>
    <m/>
    <m/>
  </r>
  <r>
    <s v="25-131"/>
    <x v="3"/>
    <x v="40"/>
    <m/>
    <m/>
    <x v="2"/>
    <m/>
    <m/>
    <m/>
    <x v="5"/>
    <x v="8"/>
    <m/>
    <m/>
    <m/>
    <m/>
    <m/>
    <m/>
    <m/>
    <m/>
  </r>
  <r>
    <s v="25-132"/>
    <x v="3"/>
    <x v="40"/>
    <m/>
    <m/>
    <x v="2"/>
    <m/>
    <m/>
    <m/>
    <x v="5"/>
    <x v="8"/>
    <m/>
    <m/>
    <m/>
    <m/>
    <m/>
    <m/>
    <m/>
    <m/>
  </r>
  <r>
    <s v="25-133"/>
    <x v="3"/>
    <x v="40"/>
    <m/>
    <m/>
    <x v="2"/>
    <m/>
    <m/>
    <m/>
    <x v="5"/>
    <x v="8"/>
    <m/>
    <m/>
    <m/>
    <m/>
    <m/>
    <m/>
    <m/>
    <m/>
  </r>
  <r>
    <s v="25-134"/>
    <x v="3"/>
    <x v="40"/>
    <m/>
    <m/>
    <x v="2"/>
    <m/>
    <m/>
    <m/>
    <x v="5"/>
    <x v="8"/>
    <m/>
    <m/>
    <m/>
    <m/>
    <m/>
    <m/>
    <m/>
    <m/>
  </r>
  <r>
    <s v="25-135"/>
    <x v="3"/>
    <x v="40"/>
    <m/>
    <m/>
    <x v="2"/>
    <m/>
    <m/>
    <m/>
    <x v="5"/>
    <x v="8"/>
    <m/>
    <m/>
    <m/>
    <m/>
    <m/>
    <m/>
    <m/>
    <m/>
  </r>
  <r>
    <s v="25-136"/>
    <x v="3"/>
    <x v="40"/>
    <m/>
    <m/>
    <x v="2"/>
    <m/>
    <m/>
    <m/>
    <x v="5"/>
    <x v="8"/>
    <m/>
    <m/>
    <m/>
    <m/>
    <m/>
    <m/>
    <m/>
    <m/>
  </r>
  <r>
    <s v="25-137"/>
    <x v="3"/>
    <x v="40"/>
    <m/>
    <m/>
    <x v="2"/>
    <m/>
    <m/>
    <m/>
    <x v="5"/>
    <x v="8"/>
    <m/>
    <m/>
    <m/>
    <m/>
    <m/>
    <m/>
    <m/>
    <m/>
  </r>
  <r>
    <s v="25-138"/>
    <x v="3"/>
    <x v="40"/>
    <m/>
    <m/>
    <x v="2"/>
    <m/>
    <m/>
    <m/>
    <x v="5"/>
    <x v="8"/>
    <m/>
    <m/>
    <m/>
    <m/>
    <m/>
    <m/>
    <m/>
    <m/>
  </r>
  <r>
    <s v="25-139"/>
    <x v="3"/>
    <x v="40"/>
    <m/>
    <m/>
    <x v="2"/>
    <m/>
    <m/>
    <m/>
    <x v="5"/>
    <x v="8"/>
    <m/>
    <m/>
    <m/>
    <m/>
    <m/>
    <m/>
    <m/>
    <m/>
  </r>
  <r>
    <s v="25-140"/>
    <x v="3"/>
    <x v="40"/>
    <m/>
    <m/>
    <x v="2"/>
    <m/>
    <m/>
    <m/>
    <x v="5"/>
    <x v="8"/>
    <m/>
    <m/>
    <m/>
    <m/>
    <m/>
    <m/>
    <m/>
    <m/>
  </r>
  <r>
    <s v="25-141"/>
    <x v="3"/>
    <x v="40"/>
    <m/>
    <m/>
    <x v="2"/>
    <m/>
    <m/>
    <m/>
    <x v="5"/>
    <x v="8"/>
    <m/>
    <m/>
    <m/>
    <m/>
    <m/>
    <m/>
    <m/>
    <m/>
  </r>
  <r>
    <s v="25-142"/>
    <x v="3"/>
    <x v="40"/>
    <m/>
    <m/>
    <x v="2"/>
    <m/>
    <m/>
    <m/>
    <x v="5"/>
    <x v="8"/>
    <m/>
    <m/>
    <m/>
    <m/>
    <m/>
    <m/>
    <m/>
    <m/>
  </r>
  <r>
    <s v="25-143"/>
    <x v="3"/>
    <x v="40"/>
    <m/>
    <m/>
    <x v="2"/>
    <m/>
    <m/>
    <m/>
    <x v="5"/>
    <x v="8"/>
    <m/>
    <m/>
    <m/>
    <m/>
    <m/>
    <m/>
    <m/>
    <m/>
  </r>
  <r>
    <s v="25-144"/>
    <x v="3"/>
    <x v="40"/>
    <m/>
    <m/>
    <x v="2"/>
    <m/>
    <m/>
    <m/>
    <x v="5"/>
    <x v="8"/>
    <m/>
    <m/>
    <m/>
    <m/>
    <m/>
    <m/>
    <m/>
    <m/>
  </r>
  <r>
    <s v="25-145"/>
    <x v="3"/>
    <x v="40"/>
    <m/>
    <m/>
    <x v="2"/>
    <m/>
    <m/>
    <m/>
    <x v="5"/>
    <x v="8"/>
    <m/>
    <m/>
    <m/>
    <m/>
    <m/>
    <m/>
    <m/>
    <m/>
  </r>
  <r>
    <s v="25-146"/>
    <x v="3"/>
    <x v="40"/>
    <m/>
    <m/>
    <x v="2"/>
    <m/>
    <m/>
    <m/>
    <x v="5"/>
    <x v="8"/>
    <m/>
    <m/>
    <m/>
    <m/>
    <m/>
    <m/>
    <m/>
    <m/>
  </r>
  <r>
    <s v="25-147"/>
    <x v="3"/>
    <x v="40"/>
    <m/>
    <m/>
    <x v="2"/>
    <m/>
    <m/>
    <m/>
    <x v="5"/>
    <x v="8"/>
    <m/>
    <m/>
    <m/>
    <m/>
    <m/>
    <m/>
    <m/>
    <m/>
  </r>
  <r>
    <s v="25-148"/>
    <x v="3"/>
    <x v="40"/>
    <m/>
    <m/>
    <x v="2"/>
    <m/>
    <m/>
    <m/>
    <x v="5"/>
    <x v="8"/>
    <m/>
    <m/>
    <m/>
    <m/>
    <m/>
    <m/>
    <m/>
    <m/>
  </r>
  <r>
    <s v="25-149"/>
    <x v="3"/>
    <x v="40"/>
    <m/>
    <m/>
    <x v="2"/>
    <m/>
    <m/>
    <m/>
    <x v="5"/>
    <x v="8"/>
    <m/>
    <m/>
    <m/>
    <m/>
    <m/>
    <m/>
    <m/>
    <m/>
  </r>
  <r>
    <s v="25-150"/>
    <x v="3"/>
    <x v="40"/>
    <m/>
    <m/>
    <x v="2"/>
    <m/>
    <m/>
    <m/>
    <x v="5"/>
    <x v="8"/>
    <m/>
    <m/>
    <m/>
    <m/>
    <m/>
    <m/>
    <m/>
    <m/>
  </r>
  <r>
    <s v="25-151"/>
    <x v="3"/>
    <x v="40"/>
    <m/>
    <m/>
    <x v="2"/>
    <m/>
    <m/>
    <m/>
    <x v="5"/>
    <x v="8"/>
    <m/>
    <m/>
    <m/>
    <m/>
    <m/>
    <m/>
    <m/>
    <m/>
  </r>
  <r>
    <s v="25-152"/>
    <x v="3"/>
    <x v="40"/>
    <m/>
    <m/>
    <x v="2"/>
    <m/>
    <m/>
    <m/>
    <x v="5"/>
    <x v="8"/>
    <m/>
    <m/>
    <m/>
    <m/>
    <m/>
    <m/>
    <m/>
    <m/>
  </r>
  <r>
    <s v="25-153"/>
    <x v="3"/>
    <x v="40"/>
    <m/>
    <m/>
    <x v="2"/>
    <m/>
    <m/>
    <m/>
    <x v="5"/>
    <x v="8"/>
    <m/>
    <m/>
    <m/>
    <m/>
    <m/>
    <m/>
    <m/>
    <m/>
  </r>
  <r>
    <s v="25-154"/>
    <x v="3"/>
    <x v="40"/>
    <m/>
    <m/>
    <x v="2"/>
    <m/>
    <m/>
    <m/>
    <x v="5"/>
    <x v="8"/>
    <m/>
    <m/>
    <m/>
    <m/>
    <m/>
    <m/>
    <m/>
    <m/>
  </r>
  <r>
    <s v="25-155"/>
    <x v="3"/>
    <x v="40"/>
    <m/>
    <m/>
    <x v="2"/>
    <m/>
    <m/>
    <m/>
    <x v="5"/>
    <x v="8"/>
    <m/>
    <m/>
    <m/>
    <m/>
    <m/>
    <m/>
    <m/>
    <m/>
  </r>
  <r>
    <s v="25-156"/>
    <x v="3"/>
    <x v="40"/>
    <m/>
    <m/>
    <x v="2"/>
    <m/>
    <m/>
    <m/>
    <x v="5"/>
    <x v="8"/>
    <m/>
    <m/>
    <m/>
    <m/>
    <m/>
    <m/>
    <m/>
    <m/>
  </r>
  <r>
    <s v="25-157"/>
    <x v="3"/>
    <x v="40"/>
    <m/>
    <m/>
    <x v="2"/>
    <m/>
    <m/>
    <m/>
    <x v="5"/>
    <x v="8"/>
    <m/>
    <m/>
    <m/>
    <m/>
    <m/>
    <m/>
    <m/>
    <m/>
  </r>
  <r>
    <s v="25-158"/>
    <x v="3"/>
    <x v="40"/>
    <m/>
    <m/>
    <x v="2"/>
    <m/>
    <m/>
    <m/>
    <x v="5"/>
    <x v="8"/>
    <m/>
    <m/>
    <m/>
    <m/>
    <m/>
    <m/>
    <m/>
    <m/>
  </r>
  <r>
    <s v="25-159"/>
    <x v="3"/>
    <x v="40"/>
    <m/>
    <m/>
    <x v="2"/>
    <m/>
    <m/>
    <m/>
    <x v="5"/>
    <x v="8"/>
    <m/>
    <m/>
    <m/>
    <m/>
    <m/>
    <m/>
    <m/>
    <m/>
  </r>
  <r>
    <s v="25-160"/>
    <x v="3"/>
    <x v="40"/>
    <m/>
    <m/>
    <x v="2"/>
    <m/>
    <m/>
    <m/>
    <x v="5"/>
    <x v="8"/>
    <m/>
    <m/>
    <m/>
    <m/>
    <m/>
    <m/>
    <m/>
    <m/>
  </r>
  <r>
    <s v="25-161"/>
    <x v="3"/>
    <x v="40"/>
    <m/>
    <m/>
    <x v="2"/>
    <m/>
    <m/>
    <m/>
    <x v="5"/>
    <x v="8"/>
    <m/>
    <m/>
    <m/>
    <m/>
    <m/>
    <m/>
    <m/>
    <m/>
  </r>
  <r>
    <s v="25-162"/>
    <x v="3"/>
    <x v="40"/>
    <m/>
    <m/>
    <x v="2"/>
    <m/>
    <m/>
    <m/>
    <x v="5"/>
    <x v="8"/>
    <m/>
    <m/>
    <m/>
    <m/>
    <m/>
    <m/>
    <m/>
    <m/>
  </r>
  <r>
    <s v="25-163"/>
    <x v="3"/>
    <x v="40"/>
    <m/>
    <m/>
    <x v="2"/>
    <m/>
    <m/>
    <m/>
    <x v="5"/>
    <x v="8"/>
    <m/>
    <m/>
    <m/>
    <m/>
    <m/>
    <m/>
    <m/>
    <m/>
  </r>
  <r>
    <s v="25-164"/>
    <x v="3"/>
    <x v="40"/>
    <m/>
    <m/>
    <x v="2"/>
    <m/>
    <m/>
    <m/>
    <x v="5"/>
    <x v="8"/>
    <m/>
    <m/>
    <m/>
    <m/>
    <m/>
    <m/>
    <m/>
    <m/>
  </r>
  <r>
    <s v="25-165"/>
    <x v="3"/>
    <x v="40"/>
    <m/>
    <m/>
    <x v="2"/>
    <m/>
    <m/>
    <m/>
    <x v="5"/>
    <x v="8"/>
    <m/>
    <m/>
    <m/>
    <m/>
    <m/>
    <m/>
    <m/>
    <m/>
  </r>
  <r>
    <s v="25-166"/>
    <x v="3"/>
    <x v="40"/>
    <m/>
    <m/>
    <x v="2"/>
    <m/>
    <m/>
    <m/>
    <x v="5"/>
    <x v="8"/>
    <m/>
    <m/>
    <m/>
    <m/>
    <m/>
    <m/>
    <m/>
    <m/>
  </r>
  <r>
    <s v="25-167"/>
    <x v="3"/>
    <x v="40"/>
    <m/>
    <m/>
    <x v="2"/>
    <m/>
    <m/>
    <m/>
    <x v="5"/>
    <x v="8"/>
    <m/>
    <m/>
    <m/>
    <m/>
    <m/>
    <m/>
    <m/>
    <m/>
  </r>
  <r>
    <s v="25-168"/>
    <x v="3"/>
    <x v="40"/>
    <m/>
    <m/>
    <x v="2"/>
    <m/>
    <m/>
    <m/>
    <x v="5"/>
    <x v="8"/>
    <m/>
    <m/>
    <m/>
    <m/>
    <m/>
    <m/>
    <m/>
    <m/>
  </r>
  <r>
    <s v="25-169"/>
    <x v="3"/>
    <x v="40"/>
    <m/>
    <m/>
    <x v="2"/>
    <m/>
    <m/>
    <m/>
    <x v="5"/>
    <x v="8"/>
    <m/>
    <m/>
    <m/>
    <m/>
    <m/>
    <m/>
    <m/>
    <m/>
  </r>
  <r>
    <s v="25-170"/>
    <x v="3"/>
    <x v="40"/>
    <m/>
    <m/>
    <x v="2"/>
    <m/>
    <m/>
    <m/>
    <x v="5"/>
    <x v="8"/>
    <m/>
    <m/>
    <m/>
    <m/>
    <m/>
    <m/>
    <m/>
    <m/>
  </r>
  <r>
    <s v="25-171"/>
    <x v="3"/>
    <x v="40"/>
    <m/>
    <m/>
    <x v="2"/>
    <m/>
    <m/>
    <m/>
    <x v="5"/>
    <x v="8"/>
    <m/>
    <m/>
    <m/>
    <m/>
    <m/>
    <m/>
    <m/>
    <m/>
  </r>
  <r>
    <s v="25-172"/>
    <x v="3"/>
    <x v="40"/>
    <m/>
    <m/>
    <x v="2"/>
    <m/>
    <m/>
    <m/>
    <x v="5"/>
    <x v="8"/>
    <m/>
    <m/>
    <m/>
    <m/>
    <m/>
    <m/>
    <m/>
    <m/>
  </r>
  <r>
    <s v="25-173"/>
    <x v="3"/>
    <x v="40"/>
    <m/>
    <m/>
    <x v="2"/>
    <m/>
    <m/>
    <m/>
    <x v="5"/>
    <x v="8"/>
    <m/>
    <m/>
    <m/>
    <m/>
    <m/>
    <m/>
    <m/>
    <m/>
  </r>
  <r>
    <s v="25-174"/>
    <x v="3"/>
    <x v="40"/>
    <m/>
    <m/>
    <x v="2"/>
    <m/>
    <m/>
    <m/>
    <x v="5"/>
    <x v="8"/>
    <m/>
    <m/>
    <m/>
    <m/>
    <m/>
    <m/>
    <m/>
    <m/>
  </r>
  <r>
    <m/>
    <x v="3"/>
    <x v="40"/>
    <m/>
    <m/>
    <x v="2"/>
    <m/>
    <m/>
    <m/>
    <x v="5"/>
    <x v="8"/>
    <m/>
    <m/>
    <m/>
    <m/>
    <m/>
    <m/>
    <m/>
    <m/>
  </r>
  <r>
    <m/>
    <x v="3"/>
    <x v="40"/>
    <m/>
    <m/>
    <x v="2"/>
    <m/>
    <m/>
    <m/>
    <x v="5"/>
    <x v="8"/>
    <m/>
    <m/>
    <m/>
    <m/>
    <m/>
    <m/>
    <m/>
    <m/>
  </r>
  <r>
    <m/>
    <x v="3"/>
    <x v="40"/>
    <m/>
    <m/>
    <x v="2"/>
    <m/>
    <m/>
    <m/>
    <x v="5"/>
    <x v="8"/>
    <m/>
    <m/>
    <m/>
    <m/>
    <m/>
    <m/>
    <m/>
    <m/>
  </r>
  <r>
    <m/>
    <x v="3"/>
    <x v="40"/>
    <m/>
    <m/>
    <x v="2"/>
    <m/>
    <m/>
    <m/>
    <x v="5"/>
    <x v="8"/>
    <m/>
    <m/>
    <m/>
    <m/>
    <m/>
    <m/>
    <m/>
    <m/>
  </r>
  <r>
    <m/>
    <x v="3"/>
    <x v="40"/>
    <m/>
    <m/>
    <x v="2"/>
    <m/>
    <m/>
    <m/>
    <x v="5"/>
    <x v="8"/>
    <m/>
    <m/>
    <m/>
    <m/>
    <m/>
    <m/>
    <m/>
    <m/>
  </r>
  <r>
    <m/>
    <x v="3"/>
    <x v="40"/>
    <m/>
    <m/>
    <x v="2"/>
    <m/>
    <m/>
    <m/>
    <x v="5"/>
    <x v="8"/>
    <m/>
    <m/>
    <m/>
    <m/>
    <m/>
    <m/>
    <m/>
    <m/>
  </r>
  <r>
    <m/>
    <x v="3"/>
    <x v="40"/>
    <m/>
    <m/>
    <x v="2"/>
    <m/>
    <m/>
    <m/>
    <x v="5"/>
    <x v="8"/>
    <m/>
    <m/>
    <m/>
    <m/>
    <m/>
    <m/>
    <m/>
    <m/>
  </r>
  <r>
    <m/>
    <x v="3"/>
    <x v="40"/>
    <m/>
    <m/>
    <x v="2"/>
    <m/>
    <m/>
    <m/>
    <x v="5"/>
    <x v="8"/>
    <m/>
    <m/>
    <m/>
    <m/>
    <m/>
    <m/>
    <m/>
    <m/>
  </r>
  <r>
    <m/>
    <x v="3"/>
    <x v="40"/>
    <m/>
    <m/>
    <x v="2"/>
    <m/>
    <m/>
    <m/>
    <x v="5"/>
    <x v="8"/>
    <m/>
    <m/>
    <m/>
    <m/>
    <m/>
    <m/>
    <m/>
    <m/>
  </r>
  <r>
    <m/>
    <x v="3"/>
    <x v="40"/>
    <m/>
    <m/>
    <x v="2"/>
    <m/>
    <m/>
    <m/>
    <x v="5"/>
    <x v="8"/>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40C4B3-7557-47D2-9A17-A789AA76871D}" name="PivotTable1" cacheId="5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G16" firstHeaderRow="1" firstDataRow="2" firstDataCol="1" rowPageCount="3" colPageCount="1"/>
  <pivotFields count="19">
    <pivotField showAll="0"/>
    <pivotField axis="axisPage" multipleItemSelectionAllowed="1" showAll="0">
      <items count="7">
        <item h="1" x="3"/>
        <item x="0"/>
        <item h="1" x="4"/>
        <item x="1"/>
        <item x="2"/>
        <item h="1" x="5"/>
        <item t="default"/>
      </items>
    </pivotField>
    <pivotField axis="axisPage" showAll="0">
      <items count="137">
        <item m="1" x="133"/>
        <item x="0"/>
        <item x="4"/>
        <item x="3"/>
        <item x="8"/>
        <item x="5"/>
        <item x="6"/>
        <item x="7"/>
        <item x="9"/>
        <item x="10"/>
        <item x="11"/>
        <item x="13"/>
        <item x="16"/>
        <item x="14"/>
        <item x="20"/>
        <item x="17"/>
        <item x="18"/>
        <item x="19"/>
        <item x="2"/>
        <item m="1" x="135"/>
        <item x="40"/>
        <item x="12"/>
        <item m="1" x="121"/>
        <item x="22"/>
        <item x="23"/>
        <item x="24"/>
        <item x="25"/>
        <item m="1" x="122"/>
        <item x="27"/>
        <item m="1" x="134"/>
        <item x="28"/>
        <item m="1" x="123"/>
        <item m="1" x="124"/>
        <item m="1" x="125"/>
        <item m="1" x="126"/>
        <item m="1" x="127"/>
        <item m="1" x="128"/>
        <item m="1" x="129"/>
        <item x="36"/>
        <item x="39"/>
        <item x="32"/>
        <item x="41"/>
        <item x="1"/>
        <item x="15"/>
        <item x="26"/>
        <item x="30"/>
        <item x="34"/>
        <item x="37"/>
        <item x="38"/>
        <item m="1" x="130"/>
        <item x="43"/>
        <item x="44"/>
        <item x="45"/>
        <item x="46"/>
        <item x="47"/>
        <item m="1" x="131"/>
        <item x="49"/>
        <item x="50"/>
        <item x="51"/>
        <item x="48"/>
        <item x="52"/>
        <item x="53"/>
        <item x="54"/>
        <item x="55"/>
        <item x="56"/>
        <item x="57"/>
        <item x="58"/>
        <item m="1" x="132"/>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21"/>
        <item x="29"/>
        <item x="31"/>
        <item x="33"/>
        <item x="35"/>
        <item x="42"/>
        <item x="59"/>
        <item t="default"/>
      </items>
    </pivotField>
    <pivotField showAll="0"/>
    <pivotField showAll="0"/>
    <pivotField axis="axisPage" multipleItemSelectionAllowed="1" showAll="0">
      <items count="4">
        <item x="0"/>
        <item x="1"/>
        <item h="1" x="2"/>
        <item t="default"/>
      </items>
    </pivotField>
    <pivotField showAll="0"/>
    <pivotField showAll="0"/>
    <pivotField showAll="0"/>
    <pivotField axis="axisCol" showAll="0">
      <items count="7">
        <item x="5"/>
        <item x="4"/>
        <item x="1"/>
        <item x="0"/>
        <item x="2"/>
        <item x="3"/>
        <item t="default"/>
      </items>
    </pivotField>
    <pivotField axis="axisRow" dataField="1" showAll="0">
      <items count="13">
        <item x="8"/>
        <item x="3"/>
        <item x="2"/>
        <item x="1"/>
        <item x="5"/>
        <item x="0"/>
        <item x="4"/>
        <item x="6"/>
        <item x="7"/>
        <item m="1" x="11"/>
        <item x="9"/>
        <item x="10"/>
        <item t="default"/>
      </items>
    </pivotField>
    <pivotField showAll="0"/>
    <pivotField showAll="0"/>
    <pivotField showAll="0"/>
    <pivotField showAll="0"/>
    <pivotField showAll="0"/>
    <pivotField showAll="0"/>
    <pivotField showAll="0"/>
    <pivotField showAll="0"/>
  </pivotFields>
  <rowFields count="1">
    <field x="10"/>
  </rowFields>
  <rowItems count="10">
    <i>
      <x v="1"/>
    </i>
    <i>
      <x v="2"/>
    </i>
    <i>
      <x v="3"/>
    </i>
    <i>
      <x v="4"/>
    </i>
    <i>
      <x v="5"/>
    </i>
    <i>
      <x v="6"/>
    </i>
    <i>
      <x v="7"/>
    </i>
    <i>
      <x v="8"/>
    </i>
    <i>
      <x v="11"/>
    </i>
    <i t="grand">
      <x/>
    </i>
  </rowItems>
  <colFields count="1">
    <field x="9"/>
  </colFields>
  <colItems count="6">
    <i>
      <x v="1"/>
    </i>
    <i>
      <x v="2"/>
    </i>
    <i>
      <x v="3"/>
    </i>
    <i>
      <x v="4"/>
    </i>
    <i>
      <x v="5"/>
    </i>
    <i t="grand">
      <x/>
    </i>
  </colItems>
  <pageFields count="3">
    <pageField fld="1" hier="-1"/>
    <pageField fld="5" hier="-1"/>
    <pageField fld="2" hier="-1"/>
  </pageFields>
  <dataFields count="1">
    <dataField name="Count of Category"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16" dT="2026-02-19T09:26:00.04" personId="{177C98C1-0944-49DD-A657-78C17A92A809}" id="{4AED7FB2-010F-4045-AB57-6618DFB4A729}">
    <text>Estimate, as the date of occurrence was not added once the Deviation is entered in the DCR tracker</text>
  </threadedComment>
  <threadedComment ref="N178" dT="2026-04-01T09:21:57.31" personId="{4DC41E5B-962C-437F-8B6D-B8AAB8EBA78B}" id="{5C57E0EE-946E-4DF9-A2B9-9359350B09B5}">
    <text>typo</text>
  </threadedComment>
  <threadedComment ref="N179" dT="2026-04-01T09:22:07.86" personId="{4DC41E5B-962C-437F-8B6D-B8AAB8EBA78B}" id="{217410B2-F579-438E-97CB-FB31B3FCB79C}">
    <text>Typo 2024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09BF1-B69B-4964-8184-0CDA6AAA694C}">
  <dimension ref="A1:G16"/>
  <sheetViews>
    <sheetView workbookViewId="0">
      <selection activeCell="I16" sqref="I16"/>
    </sheetView>
  </sheetViews>
  <sheetFormatPr defaultRowHeight="14.45"/>
  <cols>
    <col min="1" max="1" width="23.42578125" bestFit="1" customWidth="1"/>
    <col min="2" max="2" width="24.5703125" bestFit="1" customWidth="1"/>
    <col min="3" max="3" width="6.5703125" bestFit="1" customWidth="1"/>
    <col min="4" max="4" width="8.42578125" bestFit="1" customWidth="1"/>
    <col min="5" max="5" width="11.42578125" bestFit="1" customWidth="1"/>
    <col min="6" max="6" width="17" bestFit="1" customWidth="1"/>
    <col min="7" max="7" width="15.5703125" bestFit="1" customWidth="1"/>
    <col min="8" max="8" width="11.42578125" bestFit="1" customWidth="1"/>
  </cols>
  <sheetData>
    <row r="1" spans="1:7">
      <c r="A1" s="9" t="s">
        <v>0</v>
      </c>
      <c r="B1" t="s">
        <v>1</v>
      </c>
    </row>
    <row r="2" spans="1:7">
      <c r="A2" s="9" t="s">
        <v>2</v>
      </c>
      <c r="B2" t="s">
        <v>1</v>
      </c>
    </row>
    <row r="3" spans="1:7">
      <c r="A3" s="9" t="s">
        <v>3</v>
      </c>
      <c r="B3" t="s">
        <v>4</v>
      </c>
    </row>
    <row r="5" spans="1:7">
      <c r="A5" s="9" t="s">
        <v>5</v>
      </c>
      <c r="B5" s="9" t="s">
        <v>6</v>
      </c>
    </row>
    <row r="6" spans="1:7">
      <c r="A6" s="9" t="s">
        <v>7</v>
      </c>
      <c r="B6" t="s">
        <v>8</v>
      </c>
      <c r="C6" t="s">
        <v>9</v>
      </c>
      <c r="D6" t="s">
        <v>10</v>
      </c>
      <c r="E6" t="s">
        <v>11</v>
      </c>
      <c r="F6" t="s">
        <v>12</v>
      </c>
      <c r="G6" t="s">
        <v>13</v>
      </c>
    </row>
    <row r="7" spans="1:7">
      <c r="A7" s="10" t="s">
        <v>14</v>
      </c>
      <c r="C7">
        <v>5</v>
      </c>
      <c r="D7">
        <v>10</v>
      </c>
      <c r="E7">
        <v>1</v>
      </c>
      <c r="F7">
        <v>2</v>
      </c>
      <c r="G7">
        <v>18</v>
      </c>
    </row>
    <row r="8" spans="1:7">
      <c r="A8" s="10" t="s">
        <v>15</v>
      </c>
      <c r="D8">
        <v>10</v>
      </c>
      <c r="G8">
        <v>10</v>
      </c>
    </row>
    <row r="9" spans="1:7">
      <c r="A9" s="10" t="s">
        <v>16</v>
      </c>
      <c r="B9">
        <v>1</v>
      </c>
      <c r="C9">
        <v>1</v>
      </c>
      <c r="D9">
        <v>2</v>
      </c>
      <c r="E9">
        <v>10</v>
      </c>
      <c r="G9">
        <v>14</v>
      </c>
    </row>
    <row r="10" spans="1:7">
      <c r="A10" s="10" t="s">
        <v>17</v>
      </c>
      <c r="B10">
        <v>5</v>
      </c>
      <c r="C10">
        <v>6</v>
      </c>
      <c r="D10">
        <v>7</v>
      </c>
      <c r="E10">
        <v>3</v>
      </c>
      <c r="F10">
        <v>19</v>
      </c>
      <c r="G10">
        <v>40</v>
      </c>
    </row>
    <row r="11" spans="1:7">
      <c r="A11" s="10" t="s">
        <v>18</v>
      </c>
      <c r="C11">
        <v>2</v>
      </c>
      <c r="D11">
        <v>2</v>
      </c>
      <c r="G11">
        <v>4</v>
      </c>
    </row>
    <row r="12" spans="1:7">
      <c r="A12" s="10" t="s">
        <v>19</v>
      </c>
      <c r="B12">
        <v>1</v>
      </c>
      <c r="C12">
        <v>14</v>
      </c>
      <c r="D12">
        <v>18</v>
      </c>
      <c r="E12">
        <v>6</v>
      </c>
      <c r="F12">
        <v>5</v>
      </c>
      <c r="G12">
        <v>44</v>
      </c>
    </row>
    <row r="13" spans="1:7">
      <c r="A13" s="10" t="s">
        <v>20</v>
      </c>
      <c r="B13">
        <v>1</v>
      </c>
      <c r="C13">
        <v>1</v>
      </c>
      <c r="D13">
        <v>5</v>
      </c>
      <c r="E13">
        <v>3</v>
      </c>
      <c r="G13">
        <v>10</v>
      </c>
    </row>
    <row r="14" spans="1:7">
      <c r="A14" s="10" t="s">
        <v>21</v>
      </c>
      <c r="D14">
        <v>4</v>
      </c>
      <c r="E14">
        <v>4</v>
      </c>
      <c r="F14">
        <v>4</v>
      </c>
      <c r="G14">
        <v>12</v>
      </c>
    </row>
    <row r="15" spans="1:7">
      <c r="A15" s="10" t="s">
        <v>22</v>
      </c>
      <c r="C15">
        <v>1</v>
      </c>
      <c r="G15">
        <v>1</v>
      </c>
    </row>
    <row r="16" spans="1:7">
      <c r="A16" s="10" t="s">
        <v>13</v>
      </c>
      <c r="B16">
        <v>8</v>
      </c>
      <c r="C16">
        <v>30</v>
      </c>
      <c r="D16">
        <v>58</v>
      </c>
      <c r="E16">
        <v>27</v>
      </c>
      <c r="F16">
        <v>30</v>
      </c>
      <c r="G16">
        <v>153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0987A-C86F-41E5-81EC-7C8AE68D16BB}">
  <dimension ref="A1:B23"/>
  <sheetViews>
    <sheetView tabSelected="1" workbookViewId="0">
      <pane ySplit="1" topLeftCell="A2" activePane="bottomLeft" state="frozen"/>
      <selection pane="bottomLeft" activeCell="B3" sqref="B3"/>
    </sheetView>
  </sheetViews>
  <sheetFormatPr defaultRowHeight="14.45"/>
  <cols>
    <col min="1" max="1" width="25.85546875" customWidth="1"/>
    <col min="2" max="2" width="154.5703125" customWidth="1"/>
  </cols>
  <sheetData>
    <row r="1" spans="1:2">
      <c r="A1" s="4" t="s">
        <v>23</v>
      </c>
      <c r="B1" s="4" t="s">
        <v>24</v>
      </c>
    </row>
    <row r="2" spans="1:2" ht="17.100000000000001">
      <c r="A2" s="5" t="s">
        <v>25</v>
      </c>
      <c r="B2" s="3" t="s">
        <v>26</v>
      </c>
    </row>
    <row r="3" spans="1:2" ht="30.6">
      <c r="A3" s="167" t="s">
        <v>27</v>
      </c>
      <c r="B3" s="168" t="s">
        <v>28</v>
      </c>
    </row>
    <row r="4" spans="1:2" ht="17.100000000000001">
      <c r="A4" s="167" t="s">
        <v>29</v>
      </c>
      <c r="B4" s="3" t="s">
        <v>30</v>
      </c>
    </row>
    <row r="5" spans="1:2" ht="17.100000000000001">
      <c r="A5" s="5" t="s">
        <v>3</v>
      </c>
      <c r="B5" s="3" t="s">
        <v>31</v>
      </c>
    </row>
    <row r="6" spans="1:2" ht="33.950000000000003">
      <c r="A6" s="5" t="s">
        <v>32</v>
      </c>
      <c r="B6" s="3" t="s">
        <v>33</v>
      </c>
    </row>
    <row r="7" spans="1:2" ht="17.100000000000001">
      <c r="A7" s="5" t="s">
        <v>34</v>
      </c>
      <c r="B7" s="3" t="s">
        <v>35</v>
      </c>
    </row>
    <row r="8" spans="1:2" ht="17.100000000000001">
      <c r="A8" s="5" t="s">
        <v>2</v>
      </c>
      <c r="B8" s="3" t="s">
        <v>36</v>
      </c>
    </row>
    <row r="9" spans="1:2" ht="17.100000000000001">
      <c r="A9" s="5" t="s">
        <v>10</v>
      </c>
      <c r="B9" s="3" t="s">
        <v>37</v>
      </c>
    </row>
    <row r="10" spans="1:2" ht="33.950000000000003">
      <c r="A10" s="5" t="s">
        <v>38</v>
      </c>
      <c r="B10" s="3" t="s">
        <v>39</v>
      </c>
    </row>
    <row r="11" spans="1:2" ht="17.100000000000001">
      <c r="A11" s="5" t="s">
        <v>40</v>
      </c>
      <c r="B11" s="3" t="s">
        <v>41</v>
      </c>
    </row>
    <row r="12" spans="1:2" ht="43.5">
      <c r="A12" s="5" t="s">
        <v>42</v>
      </c>
      <c r="B12" s="3" t="s">
        <v>43</v>
      </c>
    </row>
    <row r="13" spans="1:2" ht="29.1">
      <c r="A13" s="5" t="s">
        <v>44</v>
      </c>
      <c r="B13" s="168" t="s">
        <v>45</v>
      </c>
    </row>
    <row r="14" spans="1:2" ht="33.950000000000003">
      <c r="A14" s="5" t="s">
        <v>46</v>
      </c>
      <c r="B14" s="168" t="s">
        <v>47</v>
      </c>
    </row>
    <row r="15" spans="1:2" ht="33.950000000000003">
      <c r="A15" s="5" t="s">
        <v>48</v>
      </c>
      <c r="B15" s="3" t="s">
        <v>49</v>
      </c>
    </row>
    <row r="16" spans="1:2" ht="43.5">
      <c r="A16" s="5" t="s">
        <v>50</v>
      </c>
      <c r="B16" s="3" t="s">
        <v>51</v>
      </c>
    </row>
    <row r="17" spans="1:2" ht="33.950000000000003">
      <c r="A17" s="5" t="s">
        <v>52</v>
      </c>
      <c r="B17" s="3" t="s">
        <v>53</v>
      </c>
    </row>
    <row r="18" spans="1:2" ht="57.95">
      <c r="A18" s="5" t="s">
        <v>54</v>
      </c>
      <c r="B18" s="3" t="s">
        <v>55</v>
      </c>
    </row>
    <row r="19" spans="1:2" ht="33.950000000000003">
      <c r="A19" s="6" t="s">
        <v>56</v>
      </c>
      <c r="B19" s="3" t="s">
        <v>57</v>
      </c>
    </row>
    <row r="20" spans="1:2" ht="33.950000000000003">
      <c r="A20" s="6" t="s">
        <v>58</v>
      </c>
      <c r="B20" s="3" t="s">
        <v>59</v>
      </c>
    </row>
    <row r="21" spans="1:2" ht="17.100000000000001">
      <c r="A21" s="5" t="s">
        <v>60</v>
      </c>
      <c r="B21" s="3" t="s">
        <v>61</v>
      </c>
    </row>
    <row r="23" spans="1:2" ht="17.100000000000001">
      <c r="B23" s="169" t="s">
        <v>62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E2076-1CCA-4BE8-B3FD-67B4533D0F9C}">
  <dimension ref="A1:F9"/>
  <sheetViews>
    <sheetView workbookViewId="0">
      <selection activeCell="C15" sqref="C15"/>
    </sheetView>
  </sheetViews>
  <sheetFormatPr defaultRowHeight="14.45"/>
  <cols>
    <col min="1" max="1" width="12.5703125" customWidth="1"/>
    <col min="3" max="3" width="25.5703125" customWidth="1"/>
    <col min="4" max="4" width="24.42578125" customWidth="1"/>
    <col min="5" max="5" width="22.42578125" customWidth="1"/>
    <col min="6" max="6" width="13.5703125" customWidth="1"/>
  </cols>
  <sheetData>
    <row r="1" spans="1:6">
      <c r="A1" s="2" t="s">
        <v>63</v>
      </c>
      <c r="B1" s="2" t="s">
        <v>64</v>
      </c>
      <c r="C1" s="2" t="s">
        <v>65</v>
      </c>
      <c r="D1" s="2" t="s">
        <v>66</v>
      </c>
      <c r="E1" s="7" t="s">
        <v>67</v>
      </c>
      <c r="F1" s="2" t="s">
        <v>68</v>
      </c>
    </row>
    <row r="2" spans="1:6">
      <c r="A2" t="s">
        <v>69</v>
      </c>
      <c r="B2" t="s">
        <v>70</v>
      </c>
      <c r="C2" t="s">
        <v>9</v>
      </c>
      <c r="D2" t="s">
        <v>21</v>
      </c>
      <c r="E2" t="s">
        <v>70</v>
      </c>
      <c r="F2" t="s">
        <v>71</v>
      </c>
    </row>
    <row r="3" spans="1:6">
      <c r="A3" t="s">
        <v>72</v>
      </c>
      <c r="B3" t="s">
        <v>73</v>
      </c>
      <c r="C3" t="s">
        <v>8</v>
      </c>
      <c r="D3" t="s">
        <v>14</v>
      </c>
      <c r="E3" t="s">
        <v>73</v>
      </c>
      <c r="F3" t="s">
        <v>74</v>
      </c>
    </row>
    <row r="4" spans="1:6">
      <c r="A4" t="s">
        <v>75</v>
      </c>
      <c r="C4" t="s">
        <v>12</v>
      </c>
      <c r="D4" t="s">
        <v>16</v>
      </c>
    </row>
    <row r="5" spans="1:6">
      <c r="A5" t="s">
        <v>76</v>
      </c>
      <c r="C5" t="s">
        <v>10</v>
      </c>
      <c r="D5" t="s">
        <v>19</v>
      </c>
    </row>
    <row r="6" spans="1:6" ht="29.1">
      <c r="A6" s="170" t="s">
        <v>77</v>
      </c>
      <c r="C6" t="s">
        <v>11</v>
      </c>
      <c r="D6" t="s">
        <v>15</v>
      </c>
    </row>
    <row r="7" spans="1:6">
      <c r="D7" t="s">
        <v>17</v>
      </c>
    </row>
    <row r="8" spans="1:6">
      <c r="D8" t="s">
        <v>20</v>
      </c>
    </row>
    <row r="9" spans="1:6">
      <c r="D9" t="s">
        <v>18</v>
      </c>
    </row>
  </sheetData>
  <sortState xmlns:xlrd2="http://schemas.microsoft.com/office/spreadsheetml/2017/richdata2" ref="C3:C6">
    <sortCondition ref="C2:C6"/>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fitToPage="1"/>
  </sheetPr>
  <dimension ref="A1:GS310"/>
  <sheetViews>
    <sheetView zoomScale="98" zoomScaleNormal="98" workbookViewId="0">
      <pane ySplit="6" topLeftCell="A308" activePane="bottomLeft" state="frozen"/>
      <selection pane="bottomLeft" activeCell="C307" sqref="C307"/>
    </sheetView>
  </sheetViews>
  <sheetFormatPr defaultRowHeight="15" customHeight="1"/>
  <cols>
    <col min="1" max="1" width="25.5703125" style="12" customWidth="1"/>
    <col min="2" max="3" width="20.42578125" style="12" customWidth="1"/>
    <col min="4" max="4" width="16" style="13" customWidth="1"/>
    <col min="5" max="6" width="25.5703125" style="12" customWidth="1"/>
    <col min="7" max="7" width="15.42578125" style="12" customWidth="1"/>
    <col min="8" max="8" width="25.5703125" style="11" customWidth="1"/>
    <col min="9" max="9" width="21.42578125" style="11" customWidth="1"/>
    <col min="10" max="10" width="25.5703125" style="55" customWidth="1"/>
    <col min="11" max="12" width="23.5703125" style="12" customWidth="1"/>
    <col min="13" max="13" width="23" style="12" customWidth="1"/>
    <col min="14" max="14" width="107.42578125" style="1" customWidth="1"/>
    <col min="15" max="15" width="124.42578125" customWidth="1"/>
    <col min="16" max="16" width="49.42578125" style="14" bestFit="1" customWidth="1"/>
    <col min="17" max="17" width="41.85546875" style="55" customWidth="1"/>
    <col min="18" max="18" width="13.5703125" style="12" customWidth="1"/>
    <col min="19" max="19" width="63.42578125" style="15" customWidth="1"/>
    <col min="20" max="20" width="80" style="59" customWidth="1"/>
    <col min="21" max="21" width="25.5703125" style="13" customWidth="1"/>
    <col min="22" max="22" width="37.5703125" customWidth="1"/>
  </cols>
  <sheetData>
    <row r="1" spans="1:21" ht="14.45">
      <c r="D1" s="57"/>
      <c r="S1" s="12"/>
    </row>
    <row r="2" spans="1:21" ht="14.45">
      <c r="J2" s="192" t="s">
        <v>78</v>
      </c>
      <c r="K2" s="192"/>
      <c r="L2" s="192"/>
      <c r="M2" s="192"/>
      <c r="N2" s="192"/>
      <c r="O2" s="192"/>
      <c r="S2" s="12"/>
    </row>
    <row r="3" spans="1:21" ht="36.950000000000003">
      <c r="B3" s="8" t="s">
        <v>79</v>
      </c>
      <c r="C3" s="8"/>
      <c r="D3" s="190" t="s">
        <v>80</v>
      </c>
      <c r="E3" s="191"/>
      <c r="F3" s="191"/>
      <c r="G3" s="191"/>
      <c r="H3" s="191"/>
      <c r="I3" s="191"/>
      <c r="J3" s="191"/>
      <c r="K3" s="191"/>
      <c r="L3" s="191"/>
      <c r="M3" s="191"/>
      <c r="N3" s="191"/>
      <c r="O3" s="191"/>
      <c r="P3" s="191"/>
      <c r="Q3" s="191"/>
      <c r="R3" s="191"/>
      <c r="S3" s="191"/>
      <c r="T3" s="191"/>
    </row>
    <row r="4" spans="1:21" ht="14.45">
      <c r="S4" s="12"/>
    </row>
    <row r="5" spans="1:21" ht="14.45">
      <c r="S5" s="12"/>
    </row>
    <row r="6" spans="1:21" s="1" customFormat="1" ht="69.75" customHeight="1">
      <c r="A6" s="63" t="s">
        <v>25</v>
      </c>
      <c r="B6" s="63" t="s">
        <v>27</v>
      </c>
      <c r="C6" s="63" t="s">
        <v>29</v>
      </c>
      <c r="D6" s="64" t="s">
        <v>3</v>
      </c>
      <c r="E6" s="63" t="s">
        <v>32</v>
      </c>
      <c r="F6" s="63" t="s">
        <v>68</v>
      </c>
      <c r="G6" s="63" t="s">
        <v>2</v>
      </c>
      <c r="H6" s="63" t="s">
        <v>10</v>
      </c>
      <c r="I6" s="63" t="s">
        <v>38</v>
      </c>
      <c r="J6" s="63" t="s">
        <v>40</v>
      </c>
      <c r="K6" s="63" t="s">
        <v>42</v>
      </c>
      <c r="L6" s="63" t="s">
        <v>81</v>
      </c>
      <c r="M6" s="63" t="s">
        <v>46</v>
      </c>
      <c r="N6" s="63" t="s">
        <v>48</v>
      </c>
      <c r="O6" s="63" t="s">
        <v>50</v>
      </c>
      <c r="P6" s="65" t="s">
        <v>52</v>
      </c>
      <c r="Q6" s="63" t="s">
        <v>54</v>
      </c>
      <c r="R6" s="66" t="s">
        <v>56</v>
      </c>
      <c r="S6" s="66" t="s">
        <v>58</v>
      </c>
      <c r="T6" s="67" t="s">
        <v>82</v>
      </c>
      <c r="U6" s="64" t="s">
        <v>60</v>
      </c>
    </row>
    <row r="7" spans="1:21" ht="57.95" hidden="1">
      <c r="A7" s="68" t="s">
        <v>83</v>
      </c>
      <c r="B7" s="69" t="s">
        <v>69</v>
      </c>
      <c r="C7" s="50" t="s">
        <v>84</v>
      </c>
      <c r="D7" s="70">
        <v>45300</v>
      </c>
      <c r="E7" s="71" t="s">
        <v>85</v>
      </c>
      <c r="F7" s="71" t="s">
        <v>71</v>
      </c>
      <c r="G7" s="69" t="s">
        <v>73</v>
      </c>
      <c r="H7" s="72" t="s">
        <v>86</v>
      </c>
      <c r="I7" s="71" t="s">
        <v>87</v>
      </c>
      <c r="J7" s="71" t="s">
        <v>88</v>
      </c>
      <c r="K7" s="69" t="s">
        <v>10</v>
      </c>
      <c r="L7" s="50" t="s">
        <v>84</v>
      </c>
      <c r="M7" s="69" t="s">
        <v>18</v>
      </c>
      <c r="N7" s="73" t="s">
        <v>89</v>
      </c>
      <c r="O7" s="74" t="s">
        <v>90</v>
      </c>
      <c r="P7" s="75">
        <v>1785</v>
      </c>
      <c r="Q7" s="76" t="s">
        <v>91</v>
      </c>
      <c r="R7" s="69" t="s">
        <v>73</v>
      </c>
      <c r="S7" s="69" t="s">
        <v>84</v>
      </c>
      <c r="T7" s="77" t="s">
        <v>84</v>
      </c>
      <c r="U7" s="78">
        <v>45293</v>
      </c>
    </row>
    <row r="8" spans="1:21" ht="116.1" hidden="1">
      <c r="A8" s="25" t="s">
        <v>92</v>
      </c>
      <c r="B8" s="69" t="s">
        <v>72</v>
      </c>
      <c r="C8" s="50" t="s">
        <v>84</v>
      </c>
      <c r="D8" s="78">
        <v>45265</v>
      </c>
      <c r="E8" s="72" t="s">
        <v>93</v>
      </c>
      <c r="F8" s="71" t="s">
        <v>71</v>
      </c>
      <c r="G8" s="69" t="s">
        <v>70</v>
      </c>
      <c r="H8" s="72" t="s">
        <v>94</v>
      </c>
      <c r="I8" s="72" t="s">
        <v>95</v>
      </c>
      <c r="J8" s="72" t="s">
        <v>96</v>
      </c>
      <c r="K8" s="69" t="s">
        <v>9</v>
      </c>
      <c r="L8" s="50" t="s">
        <v>84</v>
      </c>
      <c r="M8" s="69" t="s">
        <v>16</v>
      </c>
      <c r="N8" s="79" t="s">
        <v>97</v>
      </c>
      <c r="O8" s="80" t="s">
        <v>98</v>
      </c>
      <c r="P8" s="81">
        <v>10000</v>
      </c>
      <c r="Q8" s="82" t="s">
        <v>99</v>
      </c>
      <c r="R8" s="69" t="s">
        <v>70</v>
      </c>
      <c r="S8" s="72" t="s">
        <v>100</v>
      </c>
      <c r="T8" s="83" t="s">
        <v>101</v>
      </c>
      <c r="U8" s="78" t="s">
        <v>102</v>
      </c>
    </row>
    <row r="9" spans="1:21" ht="57.95" hidden="1">
      <c r="A9" s="25" t="s">
        <v>103</v>
      </c>
      <c r="B9" s="69" t="s">
        <v>76</v>
      </c>
      <c r="C9" s="50" t="s">
        <v>84</v>
      </c>
      <c r="D9" s="78">
        <v>45566</v>
      </c>
      <c r="E9" s="72" t="s">
        <v>104</v>
      </c>
      <c r="F9" s="71" t="s">
        <v>71</v>
      </c>
      <c r="G9" s="69" t="s">
        <v>73</v>
      </c>
      <c r="H9" s="72" t="s">
        <v>105</v>
      </c>
      <c r="I9" s="72" t="s">
        <v>84</v>
      </c>
      <c r="J9" s="72" t="s">
        <v>106</v>
      </c>
      <c r="K9" s="69" t="s">
        <v>10</v>
      </c>
      <c r="L9" s="50" t="s">
        <v>84</v>
      </c>
      <c r="M9" s="69" t="s">
        <v>15</v>
      </c>
      <c r="N9" s="79" t="s">
        <v>107</v>
      </c>
      <c r="O9" s="79" t="s">
        <v>108</v>
      </c>
      <c r="P9" s="81">
        <v>0</v>
      </c>
      <c r="Q9" s="82" t="s">
        <v>109</v>
      </c>
      <c r="R9" s="69" t="s">
        <v>73</v>
      </c>
      <c r="S9" s="69" t="s">
        <v>84</v>
      </c>
      <c r="T9" s="77" t="s">
        <v>84</v>
      </c>
      <c r="U9" s="78" t="s">
        <v>110</v>
      </c>
    </row>
    <row r="10" spans="1:21" ht="188.45" hidden="1">
      <c r="A10" s="25" t="s">
        <v>111</v>
      </c>
      <c r="B10" s="69" t="s">
        <v>76</v>
      </c>
      <c r="C10" s="50" t="s">
        <v>84</v>
      </c>
      <c r="D10" s="78">
        <v>45310</v>
      </c>
      <c r="E10" s="72" t="s">
        <v>104</v>
      </c>
      <c r="F10" s="71" t="s">
        <v>71</v>
      </c>
      <c r="G10" s="69" t="s">
        <v>73</v>
      </c>
      <c r="H10" s="72" t="s">
        <v>112</v>
      </c>
      <c r="I10" s="72" t="s">
        <v>87</v>
      </c>
      <c r="J10" s="72" t="s">
        <v>113</v>
      </c>
      <c r="K10" s="69" t="s">
        <v>10</v>
      </c>
      <c r="L10" s="50" t="s">
        <v>84</v>
      </c>
      <c r="M10" s="69" t="s">
        <v>15</v>
      </c>
      <c r="N10" s="79" t="s">
        <v>114</v>
      </c>
      <c r="O10" s="82" t="s">
        <v>115</v>
      </c>
      <c r="P10" s="81">
        <v>0</v>
      </c>
      <c r="Q10" s="82" t="s">
        <v>116</v>
      </c>
      <c r="R10" s="69" t="s">
        <v>73</v>
      </c>
      <c r="S10" s="69" t="s">
        <v>84</v>
      </c>
      <c r="T10" s="77" t="s">
        <v>84</v>
      </c>
      <c r="U10" s="78" t="s">
        <v>117</v>
      </c>
    </row>
    <row r="11" spans="1:21" s="16" customFormat="1" ht="43.5" hidden="1">
      <c r="A11" s="68" t="s">
        <v>118</v>
      </c>
      <c r="B11" s="84" t="s">
        <v>72</v>
      </c>
      <c r="C11" s="50" t="s">
        <v>84</v>
      </c>
      <c r="D11" s="70">
        <v>45306</v>
      </c>
      <c r="E11" s="71" t="s">
        <v>119</v>
      </c>
      <c r="F11" s="71" t="s">
        <v>71</v>
      </c>
      <c r="G11" s="84" t="s">
        <v>73</v>
      </c>
      <c r="H11" s="71" t="s">
        <v>120</v>
      </c>
      <c r="I11" s="71" t="s">
        <v>87</v>
      </c>
      <c r="J11" s="71" t="s">
        <v>121</v>
      </c>
      <c r="K11" s="84" t="s">
        <v>10</v>
      </c>
      <c r="L11" s="50" t="s">
        <v>84</v>
      </c>
      <c r="M11" s="84" t="s">
        <v>14</v>
      </c>
      <c r="N11" s="73" t="s">
        <v>122</v>
      </c>
      <c r="O11" s="85" t="s">
        <v>123</v>
      </c>
      <c r="P11" s="75">
        <v>9000</v>
      </c>
      <c r="Q11" s="86" t="s">
        <v>124</v>
      </c>
      <c r="R11" s="84" t="s">
        <v>73</v>
      </c>
      <c r="S11" s="69" t="s">
        <v>84</v>
      </c>
      <c r="T11" s="77" t="s">
        <v>84</v>
      </c>
      <c r="U11" s="70" t="s">
        <v>125</v>
      </c>
    </row>
    <row r="12" spans="1:21" ht="43.5" hidden="1">
      <c r="A12" s="68" t="s">
        <v>126</v>
      </c>
      <c r="B12" s="69" t="s">
        <v>69</v>
      </c>
      <c r="C12" s="50" t="s">
        <v>84</v>
      </c>
      <c r="D12" s="78">
        <v>45328</v>
      </c>
      <c r="E12" s="71" t="s">
        <v>127</v>
      </c>
      <c r="F12" s="71" t="s">
        <v>71</v>
      </c>
      <c r="G12" s="69" t="s">
        <v>70</v>
      </c>
      <c r="H12" s="72" t="s">
        <v>128</v>
      </c>
      <c r="I12" s="72" t="s">
        <v>129</v>
      </c>
      <c r="J12" s="72" t="s">
        <v>130</v>
      </c>
      <c r="K12" s="69" t="s">
        <v>10</v>
      </c>
      <c r="L12" s="50" t="s">
        <v>84</v>
      </c>
      <c r="M12" s="69" t="s">
        <v>16</v>
      </c>
      <c r="N12" s="79" t="s">
        <v>131</v>
      </c>
      <c r="O12" s="87" t="s">
        <v>132</v>
      </c>
      <c r="P12" s="81" t="s">
        <v>133</v>
      </c>
      <c r="Q12" s="82" t="s">
        <v>134</v>
      </c>
      <c r="R12" s="69" t="s">
        <v>73</v>
      </c>
      <c r="S12" s="69" t="s">
        <v>84</v>
      </c>
      <c r="T12" s="77" t="s">
        <v>84</v>
      </c>
      <c r="U12" s="78">
        <v>45329</v>
      </c>
    </row>
    <row r="13" spans="1:21" ht="103.5" hidden="1" customHeight="1">
      <c r="A13" s="68" t="s">
        <v>135</v>
      </c>
      <c r="B13" s="69" t="s">
        <v>72</v>
      </c>
      <c r="C13" s="50" t="s">
        <v>84</v>
      </c>
      <c r="D13" s="70">
        <v>45330</v>
      </c>
      <c r="E13" s="71" t="s">
        <v>136</v>
      </c>
      <c r="F13" s="71" t="s">
        <v>71</v>
      </c>
      <c r="G13" s="69" t="s">
        <v>73</v>
      </c>
      <c r="H13" s="72" t="s">
        <v>137</v>
      </c>
      <c r="I13" s="72" t="s">
        <v>138</v>
      </c>
      <c r="J13" s="72" t="s">
        <v>139</v>
      </c>
      <c r="K13" s="69" t="s">
        <v>11</v>
      </c>
      <c r="L13" s="50" t="s">
        <v>84</v>
      </c>
      <c r="M13" s="69" t="s">
        <v>16</v>
      </c>
      <c r="N13" s="73" t="s">
        <v>140</v>
      </c>
      <c r="O13" s="87" t="s">
        <v>141</v>
      </c>
      <c r="P13" s="81">
        <v>397</v>
      </c>
      <c r="Q13" s="82" t="s">
        <v>142</v>
      </c>
      <c r="R13" s="69" t="s">
        <v>73</v>
      </c>
      <c r="S13" s="69" t="s">
        <v>84</v>
      </c>
      <c r="T13" s="77" t="s">
        <v>84</v>
      </c>
      <c r="U13" s="78">
        <v>45384</v>
      </c>
    </row>
    <row r="14" spans="1:21" ht="72.599999999999994" hidden="1">
      <c r="A14" s="68" t="s">
        <v>143</v>
      </c>
      <c r="B14" s="69" t="s">
        <v>69</v>
      </c>
      <c r="C14" s="50" t="s">
        <v>84</v>
      </c>
      <c r="D14" s="70">
        <v>45331</v>
      </c>
      <c r="E14" s="71" t="s">
        <v>127</v>
      </c>
      <c r="F14" s="71" t="s">
        <v>71</v>
      </c>
      <c r="G14" s="69" t="s">
        <v>70</v>
      </c>
      <c r="H14" s="72" t="s">
        <v>144</v>
      </c>
      <c r="I14" s="71" t="s">
        <v>87</v>
      </c>
      <c r="J14" s="71" t="s">
        <v>145</v>
      </c>
      <c r="K14" s="69" t="s">
        <v>10</v>
      </c>
      <c r="L14" s="50" t="s">
        <v>84</v>
      </c>
      <c r="M14" s="69" t="s">
        <v>19</v>
      </c>
      <c r="N14" s="73" t="s">
        <v>146</v>
      </c>
      <c r="O14" s="80" t="s">
        <v>147</v>
      </c>
      <c r="P14" s="81" t="s">
        <v>133</v>
      </c>
      <c r="Q14" s="82" t="s">
        <v>148</v>
      </c>
      <c r="R14" s="69" t="s">
        <v>73</v>
      </c>
      <c r="S14" s="69" t="s">
        <v>84</v>
      </c>
      <c r="T14" s="77" t="s">
        <v>84</v>
      </c>
      <c r="U14" s="78">
        <v>45355</v>
      </c>
    </row>
    <row r="15" spans="1:21" ht="159.6" hidden="1">
      <c r="A15" s="68" t="s">
        <v>149</v>
      </c>
      <c r="B15" s="69" t="s">
        <v>69</v>
      </c>
      <c r="C15" s="50" t="s">
        <v>84</v>
      </c>
      <c r="D15" s="78">
        <v>45322</v>
      </c>
      <c r="E15" s="72" t="s">
        <v>150</v>
      </c>
      <c r="F15" s="71" t="s">
        <v>71</v>
      </c>
      <c r="G15" s="69" t="s">
        <v>70</v>
      </c>
      <c r="H15" s="72" t="s">
        <v>151</v>
      </c>
      <c r="I15" s="72" t="s">
        <v>87</v>
      </c>
      <c r="J15" s="72" t="s">
        <v>152</v>
      </c>
      <c r="K15" s="69" t="s">
        <v>9</v>
      </c>
      <c r="L15" s="50" t="s">
        <v>84</v>
      </c>
      <c r="M15" s="69" t="s">
        <v>17</v>
      </c>
      <c r="N15" s="79" t="s">
        <v>153</v>
      </c>
      <c r="O15" s="80" t="s">
        <v>154</v>
      </c>
      <c r="P15" s="81">
        <v>0</v>
      </c>
      <c r="Q15" s="82" t="s">
        <v>99</v>
      </c>
      <c r="R15" s="69" t="s">
        <v>70</v>
      </c>
      <c r="S15" s="82" t="s">
        <v>155</v>
      </c>
      <c r="T15" s="83" t="s">
        <v>156</v>
      </c>
      <c r="U15" s="78" t="s">
        <v>157</v>
      </c>
    </row>
    <row r="16" spans="1:21" ht="57.95" hidden="1">
      <c r="A16" s="68" t="s">
        <v>158</v>
      </c>
      <c r="B16" s="69" t="s">
        <v>72</v>
      </c>
      <c r="C16" s="50" t="s">
        <v>84</v>
      </c>
      <c r="D16" s="70">
        <v>45337</v>
      </c>
      <c r="E16" s="71" t="s">
        <v>127</v>
      </c>
      <c r="F16" s="71" t="s">
        <v>71</v>
      </c>
      <c r="G16" s="69" t="s">
        <v>70</v>
      </c>
      <c r="H16" s="72" t="s">
        <v>159</v>
      </c>
      <c r="I16" s="71" t="s">
        <v>87</v>
      </c>
      <c r="J16" s="71" t="s">
        <v>160</v>
      </c>
      <c r="K16" s="69" t="s">
        <v>12</v>
      </c>
      <c r="L16" s="50" t="s">
        <v>84</v>
      </c>
      <c r="M16" s="69" t="s">
        <v>17</v>
      </c>
      <c r="N16" s="73" t="s">
        <v>161</v>
      </c>
      <c r="O16" s="87" t="s">
        <v>162</v>
      </c>
      <c r="P16" s="81" t="s">
        <v>133</v>
      </c>
      <c r="Q16" s="82" t="s">
        <v>163</v>
      </c>
      <c r="R16" s="69" t="s">
        <v>73</v>
      </c>
      <c r="S16" s="69" t="s">
        <v>84</v>
      </c>
      <c r="T16" s="77" t="s">
        <v>84</v>
      </c>
      <c r="U16" s="78">
        <v>45337</v>
      </c>
    </row>
    <row r="17" spans="1:21" ht="83.25" hidden="1" customHeight="1">
      <c r="A17" s="68" t="s">
        <v>164</v>
      </c>
      <c r="B17" s="69" t="s">
        <v>69</v>
      </c>
      <c r="C17" s="50" t="s">
        <v>84</v>
      </c>
      <c r="D17" s="78">
        <v>45341</v>
      </c>
      <c r="E17" s="72" t="s">
        <v>165</v>
      </c>
      <c r="F17" s="71" t="s">
        <v>71</v>
      </c>
      <c r="G17" s="69" t="s">
        <v>70</v>
      </c>
      <c r="H17" s="72" t="s">
        <v>166</v>
      </c>
      <c r="I17" s="72" t="s">
        <v>87</v>
      </c>
      <c r="J17" s="72" t="s">
        <v>167</v>
      </c>
      <c r="K17" s="69" t="s">
        <v>8</v>
      </c>
      <c r="L17" s="50" t="s">
        <v>84</v>
      </c>
      <c r="M17" s="69" t="s">
        <v>17</v>
      </c>
      <c r="N17" s="79" t="s">
        <v>168</v>
      </c>
      <c r="O17" s="80" t="s">
        <v>169</v>
      </c>
      <c r="P17" s="81">
        <v>0</v>
      </c>
      <c r="Q17" s="74" t="s">
        <v>170</v>
      </c>
      <c r="R17" s="69" t="s">
        <v>73</v>
      </c>
      <c r="S17" s="69" t="s">
        <v>84</v>
      </c>
      <c r="T17" s="77" t="s">
        <v>84</v>
      </c>
      <c r="U17" s="78" t="s">
        <v>171</v>
      </c>
    </row>
    <row r="18" spans="1:21" ht="43.5" hidden="1">
      <c r="A18" s="68" t="s">
        <v>172</v>
      </c>
      <c r="B18" s="69" t="s">
        <v>69</v>
      </c>
      <c r="C18" s="50" t="s">
        <v>84</v>
      </c>
      <c r="D18" s="78">
        <v>45342</v>
      </c>
      <c r="E18" s="72" t="s">
        <v>173</v>
      </c>
      <c r="F18" s="71" t="s">
        <v>71</v>
      </c>
      <c r="G18" s="69" t="s">
        <v>73</v>
      </c>
      <c r="H18" s="72" t="s">
        <v>174</v>
      </c>
      <c r="I18" s="72" t="s">
        <v>175</v>
      </c>
      <c r="J18" s="72" t="s">
        <v>176</v>
      </c>
      <c r="K18" s="69" t="s">
        <v>11</v>
      </c>
      <c r="L18" s="50" t="s">
        <v>84</v>
      </c>
      <c r="M18" s="69" t="s">
        <v>16</v>
      </c>
      <c r="N18" s="79" t="s">
        <v>177</v>
      </c>
      <c r="O18" s="80" t="s">
        <v>178</v>
      </c>
      <c r="P18" s="81">
        <v>82</v>
      </c>
      <c r="Q18" s="82" t="s">
        <v>179</v>
      </c>
      <c r="R18" s="69" t="s">
        <v>73</v>
      </c>
      <c r="S18" s="82" t="s">
        <v>84</v>
      </c>
      <c r="T18" s="83" t="s">
        <v>84</v>
      </c>
      <c r="U18" s="78">
        <v>45593</v>
      </c>
    </row>
    <row r="19" spans="1:21" ht="210" hidden="1" customHeight="1">
      <c r="A19" s="68" t="s">
        <v>180</v>
      </c>
      <c r="B19" s="69" t="s">
        <v>72</v>
      </c>
      <c r="C19" s="50" t="s">
        <v>84</v>
      </c>
      <c r="D19" s="70">
        <v>45253</v>
      </c>
      <c r="E19" s="71" t="s">
        <v>181</v>
      </c>
      <c r="F19" s="71" t="s">
        <v>71</v>
      </c>
      <c r="G19" s="69" t="s">
        <v>73</v>
      </c>
      <c r="H19" s="72" t="s">
        <v>182</v>
      </c>
      <c r="I19" s="72" t="s">
        <v>138</v>
      </c>
      <c r="J19" s="72" t="s">
        <v>183</v>
      </c>
      <c r="K19" s="69" t="s">
        <v>11</v>
      </c>
      <c r="L19" s="50" t="s">
        <v>84</v>
      </c>
      <c r="M19" s="69" t="s">
        <v>20</v>
      </c>
      <c r="N19" s="79" t="s">
        <v>184</v>
      </c>
      <c r="O19" s="80" t="s">
        <v>185</v>
      </c>
      <c r="P19" s="81">
        <v>450</v>
      </c>
      <c r="Q19" s="80" t="s">
        <v>186</v>
      </c>
      <c r="R19" s="69" t="s">
        <v>73</v>
      </c>
      <c r="S19" s="82" t="s">
        <v>84</v>
      </c>
      <c r="T19" s="83" t="s">
        <v>84</v>
      </c>
      <c r="U19" s="78">
        <v>45301</v>
      </c>
    </row>
    <row r="20" spans="1:21" ht="57.95" hidden="1">
      <c r="A20" s="68" t="s">
        <v>187</v>
      </c>
      <c r="B20" s="69" t="s">
        <v>69</v>
      </c>
      <c r="C20" s="50" t="s">
        <v>84</v>
      </c>
      <c r="D20" s="70">
        <v>45355</v>
      </c>
      <c r="E20" s="71" t="s">
        <v>188</v>
      </c>
      <c r="F20" s="71" t="s">
        <v>71</v>
      </c>
      <c r="G20" s="69" t="s">
        <v>70</v>
      </c>
      <c r="H20" s="72" t="s">
        <v>189</v>
      </c>
      <c r="I20" s="72" t="s">
        <v>190</v>
      </c>
      <c r="J20" s="72" t="s">
        <v>191</v>
      </c>
      <c r="K20" s="69" t="s">
        <v>11</v>
      </c>
      <c r="L20" s="50" t="s">
        <v>84</v>
      </c>
      <c r="M20" s="69" t="s">
        <v>16</v>
      </c>
      <c r="N20" s="79" t="s">
        <v>192</v>
      </c>
      <c r="O20" s="80" t="s">
        <v>193</v>
      </c>
      <c r="P20" s="81">
        <v>0</v>
      </c>
      <c r="Q20" s="82" t="s">
        <v>194</v>
      </c>
      <c r="R20" s="69" t="s">
        <v>73</v>
      </c>
      <c r="S20" s="69" t="s">
        <v>84</v>
      </c>
      <c r="T20" s="77" t="s">
        <v>84</v>
      </c>
      <c r="U20" s="78">
        <v>45378</v>
      </c>
    </row>
    <row r="21" spans="1:21" ht="200.85" hidden="1" customHeight="1">
      <c r="A21" s="68" t="s">
        <v>195</v>
      </c>
      <c r="B21" s="69" t="s">
        <v>72</v>
      </c>
      <c r="C21" s="50" t="s">
        <v>84</v>
      </c>
      <c r="D21" s="70">
        <v>45366</v>
      </c>
      <c r="E21" s="71" t="s">
        <v>196</v>
      </c>
      <c r="F21" s="71" t="s">
        <v>71</v>
      </c>
      <c r="G21" s="69" t="s">
        <v>73</v>
      </c>
      <c r="H21" s="72" t="s">
        <v>197</v>
      </c>
      <c r="I21" s="72" t="s">
        <v>198</v>
      </c>
      <c r="J21" s="72" t="s">
        <v>199</v>
      </c>
      <c r="K21" s="69" t="s">
        <v>8</v>
      </c>
      <c r="L21" s="50" t="s">
        <v>84</v>
      </c>
      <c r="M21" s="69" t="s">
        <v>17</v>
      </c>
      <c r="N21" s="79" t="s">
        <v>200</v>
      </c>
      <c r="O21" s="80" t="s">
        <v>201</v>
      </c>
      <c r="P21" s="81">
        <v>0</v>
      </c>
      <c r="Q21" s="82" t="s">
        <v>202</v>
      </c>
      <c r="R21" s="69" t="s">
        <v>73</v>
      </c>
      <c r="S21" s="82" t="s">
        <v>84</v>
      </c>
      <c r="T21" s="83" t="s">
        <v>84</v>
      </c>
      <c r="U21" s="78" t="s">
        <v>203</v>
      </c>
    </row>
    <row r="22" spans="1:21" ht="57.95" hidden="1">
      <c r="A22" s="68" t="s">
        <v>204</v>
      </c>
      <c r="B22" s="69" t="s">
        <v>69</v>
      </c>
      <c r="C22" s="50" t="s">
        <v>84</v>
      </c>
      <c r="D22" s="78">
        <v>45369</v>
      </c>
      <c r="E22" s="71" t="s">
        <v>205</v>
      </c>
      <c r="F22" s="71" t="s">
        <v>71</v>
      </c>
      <c r="G22" s="69" t="s">
        <v>70</v>
      </c>
      <c r="H22" s="72" t="s">
        <v>206</v>
      </c>
      <c r="I22" s="71" t="s">
        <v>207</v>
      </c>
      <c r="J22" s="71" t="s">
        <v>208</v>
      </c>
      <c r="K22" s="69" t="s">
        <v>10</v>
      </c>
      <c r="L22" s="50" t="s">
        <v>84</v>
      </c>
      <c r="M22" s="69" t="s">
        <v>17</v>
      </c>
      <c r="N22" s="73" t="s">
        <v>209</v>
      </c>
      <c r="O22" s="88" t="s">
        <v>210</v>
      </c>
      <c r="P22" s="75">
        <v>0</v>
      </c>
      <c r="Q22" s="82" t="s">
        <v>211</v>
      </c>
      <c r="R22" s="69" t="s">
        <v>73</v>
      </c>
      <c r="S22" s="69" t="s">
        <v>84</v>
      </c>
      <c r="T22" s="77" t="s">
        <v>84</v>
      </c>
      <c r="U22" s="70" t="s">
        <v>212</v>
      </c>
    </row>
    <row r="23" spans="1:21" ht="43.5" hidden="1">
      <c r="A23" s="68" t="s">
        <v>213</v>
      </c>
      <c r="B23" s="69" t="s">
        <v>69</v>
      </c>
      <c r="C23" s="50" t="s">
        <v>84</v>
      </c>
      <c r="D23" s="78">
        <v>45355</v>
      </c>
      <c r="E23" s="72" t="s">
        <v>214</v>
      </c>
      <c r="F23" s="71" t="s">
        <v>71</v>
      </c>
      <c r="G23" s="69" t="s">
        <v>70</v>
      </c>
      <c r="H23" s="72" t="s">
        <v>215</v>
      </c>
      <c r="I23" s="72" t="s">
        <v>216</v>
      </c>
      <c r="J23" s="72" t="s">
        <v>217</v>
      </c>
      <c r="K23" s="69" t="s">
        <v>9</v>
      </c>
      <c r="L23" s="50" t="s">
        <v>84</v>
      </c>
      <c r="M23" s="69" t="s">
        <v>18</v>
      </c>
      <c r="N23" s="79" t="s">
        <v>218</v>
      </c>
      <c r="O23" s="74" t="s">
        <v>219</v>
      </c>
      <c r="P23" s="81">
        <v>2000</v>
      </c>
      <c r="Q23" s="82" t="s">
        <v>220</v>
      </c>
      <c r="R23" s="69" t="s">
        <v>73</v>
      </c>
      <c r="S23" s="69" t="s">
        <v>84</v>
      </c>
      <c r="T23" s="77" t="s">
        <v>84</v>
      </c>
      <c r="U23" s="78" t="s">
        <v>212</v>
      </c>
    </row>
    <row r="24" spans="1:21" ht="43.5" hidden="1">
      <c r="A24" s="68" t="s">
        <v>221</v>
      </c>
      <c r="B24" s="69" t="s">
        <v>69</v>
      </c>
      <c r="C24" s="50" t="s">
        <v>84</v>
      </c>
      <c r="D24" s="78">
        <v>45364</v>
      </c>
      <c r="E24" s="72" t="s">
        <v>214</v>
      </c>
      <c r="F24" s="71" t="s">
        <v>71</v>
      </c>
      <c r="G24" s="69" t="s">
        <v>70</v>
      </c>
      <c r="H24" s="72" t="s">
        <v>222</v>
      </c>
      <c r="I24" s="72" t="s">
        <v>216</v>
      </c>
      <c r="J24" s="72" t="s">
        <v>223</v>
      </c>
      <c r="K24" s="69" t="s">
        <v>12</v>
      </c>
      <c r="L24" s="50" t="s">
        <v>84</v>
      </c>
      <c r="M24" s="69" t="s">
        <v>17</v>
      </c>
      <c r="N24" s="79" t="s">
        <v>224</v>
      </c>
      <c r="O24" s="79" t="s">
        <v>225</v>
      </c>
      <c r="P24" s="81">
        <v>0</v>
      </c>
      <c r="Q24" s="82" t="s">
        <v>226</v>
      </c>
      <c r="R24" s="69" t="s">
        <v>73</v>
      </c>
      <c r="S24" s="69" t="s">
        <v>84</v>
      </c>
      <c r="T24" s="77" t="s">
        <v>84</v>
      </c>
      <c r="U24" s="78" t="s">
        <v>212</v>
      </c>
    </row>
    <row r="25" spans="1:21" ht="174" hidden="1">
      <c r="A25" s="68" t="s">
        <v>227</v>
      </c>
      <c r="B25" s="69" t="s">
        <v>72</v>
      </c>
      <c r="C25" s="50" t="s">
        <v>84</v>
      </c>
      <c r="D25" s="78">
        <v>45379</v>
      </c>
      <c r="E25" s="71" t="s">
        <v>196</v>
      </c>
      <c r="F25" s="71" t="s">
        <v>71</v>
      </c>
      <c r="G25" s="69" t="s">
        <v>73</v>
      </c>
      <c r="H25" s="72" t="s">
        <v>228</v>
      </c>
      <c r="I25" s="71" t="s">
        <v>198</v>
      </c>
      <c r="J25" s="71" t="s">
        <v>229</v>
      </c>
      <c r="K25" s="69" t="s">
        <v>12</v>
      </c>
      <c r="L25" s="50" t="s">
        <v>84</v>
      </c>
      <c r="M25" s="69" t="s">
        <v>21</v>
      </c>
      <c r="N25" s="172" t="s">
        <v>230</v>
      </c>
      <c r="O25" s="80" t="s">
        <v>231</v>
      </c>
      <c r="P25" s="81" t="s">
        <v>232</v>
      </c>
      <c r="Q25" s="82" t="s">
        <v>233</v>
      </c>
      <c r="R25" s="69" t="s">
        <v>73</v>
      </c>
      <c r="S25" s="82" t="s">
        <v>84</v>
      </c>
      <c r="T25" s="83" t="s">
        <v>84</v>
      </c>
      <c r="U25" s="78">
        <v>45435</v>
      </c>
    </row>
    <row r="26" spans="1:21" ht="43.5" hidden="1">
      <c r="A26" s="68" t="s">
        <v>234</v>
      </c>
      <c r="B26" s="69" t="s">
        <v>69</v>
      </c>
      <c r="C26" s="50" t="s">
        <v>84</v>
      </c>
      <c r="D26" s="70">
        <v>45379</v>
      </c>
      <c r="E26" s="71" t="s">
        <v>127</v>
      </c>
      <c r="F26" s="71" t="s">
        <v>71</v>
      </c>
      <c r="G26" s="69" t="s">
        <v>70</v>
      </c>
      <c r="H26" s="72" t="s">
        <v>235</v>
      </c>
      <c r="I26" s="71" t="s">
        <v>236</v>
      </c>
      <c r="J26" s="71" t="s">
        <v>237</v>
      </c>
      <c r="K26" s="69" t="s">
        <v>12</v>
      </c>
      <c r="L26" s="50" t="s">
        <v>84</v>
      </c>
      <c r="M26" s="69" t="s">
        <v>19</v>
      </c>
      <c r="N26" s="73" t="s">
        <v>238</v>
      </c>
      <c r="O26" s="87" t="s">
        <v>239</v>
      </c>
      <c r="P26" s="81" t="s">
        <v>133</v>
      </c>
      <c r="Q26" s="82" t="s">
        <v>240</v>
      </c>
      <c r="R26" s="69" t="s">
        <v>73</v>
      </c>
      <c r="S26" s="69" t="s">
        <v>84</v>
      </c>
      <c r="T26" s="77" t="s">
        <v>84</v>
      </c>
      <c r="U26" s="78">
        <v>45411</v>
      </c>
    </row>
    <row r="27" spans="1:21" ht="43.5" hidden="1">
      <c r="A27" s="68" t="s">
        <v>241</v>
      </c>
      <c r="B27" s="69" t="s">
        <v>69</v>
      </c>
      <c r="C27" s="50" t="s">
        <v>84</v>
      </c>
      <c r="D27" s="70">
        <v>45384</v>
      </c>
      <c r="E27" s="71" t="s">
        <v>127</v>
      </c>
      <c r="F27" s="71" t="s">
        <v>71</v>
      </c>
      <c r="G27" s="69" t="s">
        <v>70</v>
      </c>
      <c r="H27" s="72" t="s">
        <v>242</v>
      </c>
      <c r="I27" s="71" t="s">
        <v>87</v>
      </c>
      <c r="J27" s="71" t="s">
        <v>243</v>
      </c>
      <c r="K27" s="69" t="s">
        <v>8</v>
      </c>
      <c r="L27" s="50" t="s">
        <v>84</v>
      </c>
      <c r="M27" s="69" t="s">
        <v>17</v>
      </c>
      <c r="N27" s="73" t="s">
        <v>244</v>
      </c>
      <c r="O27" s="87" t="s">
        <v>245</v>
      </c>
      <c r="P27" s="81" t="s">
        <v>133</v>
      </c>
      <c r="Q27" s="82" t="s">
        <v>246</v>
      </c>
      <c r="R27" s="69" t="s">
        <v>73</v>
      </c>
      <c r="S27" s="69" t="s">
        <v>84</v>
      </c>
      <c r="T27" s="77" t="s">
        <v>84</v>
      </c>
      <c r="U27" s="78">
        <v>45377</v>
      </c>
    </row>
    <row r="28" spans="1:21" s="16" customFormat="1" ht="57.95" hidden="1">
      <c r="A28" s="68" t="s">
        <v>247</v>
      </c>
      <c r="B28" s="84" t="s">
        <v>69</v>
      </c>
      <c r="C28" s="50" t="s">
        <v>84</v>
      </c>
      <c r="D28" s="70">
        <v>45398</v>
      </c>
      <c r="E28" s="71" t="s">
        <v>248</v>
      </c>
      <c r="F28" s="71" t="s">
        <v>71</v>
      </c>
      <c r="G28" s="84" t="s">
        <v>73</v>
      </c>
      <c r="H28" s="71" t="s">
        <v>249</v>
      </c>
      <c r="I28" s="71" t="s">
        <v>87</v>
      </c>
      <c r="J28" s="71" t="s">
        <v>250</v>
      </c>
      <c r="K28" s="84" t="s">
        <v>10</v>
      </c>
      <c r="L28" s="50" t="s">
        <v>84</v>
      </c>
      <c r="M28" s="84" t="s">
        <v>19</v>
      </c>
      <c r="N28" s="73" t="s">
        <v>251</v>
      </c>
      <c r="O28" s="89" t="s">
        <v>252</v>
      </c>
      <c r="P28" s="75">
        <v>8000</v>
      </c>
      <c r="Q28" s="86" t="s">
        <v>253</v>
      </c>
      <c r="R28" s="84" t="s">
        <v>73</v>
      </c>
      <c r="S28" s="69" t="s">
        <v>84</v>
      </c>
      <c r="T28" s="77" t="s">
        <v>84</v>
      </c>
      <c r="U28" s="70" t="s">
        <v>125</v>
      </c>
    </row>
    <row r="29" spans="1:21" ht="129.75" hidden="1" customHeight="1">
      <c r="A29" s="68" t="s">
        <v>254</v>
      </c>
      <c r="B29" s="69" t="s">
        <v>69</v>
      </c>
      <c r="C29" s="50" t="s">
        <v>84</v>
      </c>
      <c r="D29" s="78">
        <v>45378</v>
      </c>
      <c r="E29" s="72" t="s">
        <v>165</v>
      </c>
      <c r="F29" s="71" t="s">
        <v>71</v>
      </c>
      <c r="G29" s="69" t="s">
        <v>70</v>
      </c>
      <c r="H29" s="72" t="s">
        <v>255</v>
      </c>
      <c r="I29" s="72" t="s">
        <v>87</v>
      </c>
      <c r="J29" s="72" t="s">
        <v>256</v>
      </c>
      <c r="K29" s="69" t="s">
        <v>12</v>
      </c>
      <c r="L29" s="50" t="s">
        <v>84</v>
      </c>
      <c r="M29" s="69" t="s">
        <v>17</v>
      </c>
      <c r="N29" s="79" t="s">
        <v>257</v>
      </c>
      <c r="O29" s="74" t="s">
        <v>258</v>
      </c>
      <c r="P29" s="81">
        <v>0</v>
      </c>
      <c r="Q29" s="74" t="s">
        <v>259</v>
      </c>
      <c r="R29" s="69" t="s">
        <v>73</v>
      </c>
      <c r="S29" s="69" t="s">
        <v>84</v>
      </c>
      <c r="T29" s="77" t="s">
        <v>84</v>
      </c>
      <c r="U29" s="78" t="s">
        <v>260</v>
      </c>
    </row>
    <row r="30" spans="1:21" ht="339.75" hidden="1" customHeight="1">
      <c r="A30" s="68" t="s">
        <v>261</v>
      </c>
      <c r="B30" s="69" t="s">
        <v>72</v>
      </c>
      <c r="C30" s="50" t="s">
        <v>84</v>
      </c>
      <c r="D30" s="70">
        <v>45408</v>
      </c>
      <c r="E30" s="71" t="s">
        <v>262</v>
      </c>
      <c r="F30" s="71" t="s">
        <v>71</v>
      </c>
      <c r="G30" s="69" t="s">
        <v>70</v>
      </c>
      <c r="H30" s="72" t="s">
        <v>263</v>
      </c>
      <c r="I30" s="72" t="s">
        <v>264</v>
      </c>
      <c r="J30" s="82" t="s">
        <v>265</v>
      </c>
      <c r="K30" s="69" t="s">
        <v>9</v>
      </c>
      <c r="L30" s="50" t="s">
        <v>84</v>
      </c>
      <c r="M30" s="69" t="s">
        <v>19</v>
      </c>
      <c r="N30" s="80" t="s">
        <v>266</v>
      </c>
      <c r="O30" s="80" t="s">
        <v>267</v>
      </c>
      <c r="P30" s="81">
        <v>566.5</v>
      </c>
      <c r="Q30" s="82" t="s">
        <v>99</v>
      </c>
      <c r="R30" s="69" t="s">
        <v>70</v>
      </c>
      <c r="S30" s="82" t="s">
        <v>268</v>
      </c>
      <c r="T30" s="83" t="s">
        <v>269</v>
      </c>
      <c r="U30" s="78">
        <v>45524</v>
      </c>
    </row>
    <row r="31" spans="1:21" ht="72.599999999999994" hidden="1">
      <c r="A31" s="68" t="s">
        <v>270</v>
      </c>
      <c r="B31" s="69" t="s">
        <v>69</v>
      </c>
      <c r="C31" s="50" t="s">
        <v>84</v>
      </c>
      <c r="D31" s="70">
        <v>45406</v>
      </c>
      <c r="E31" s="71" t="s">
        <v>214</v>
      </c>
      <c r="F31" s="71" t="s">
        <v>71</v>
      </c>
      <c r="G31" s="69" t="s">
        <v>70</v>
      </c>
      <c r="H31" s="72" t="s">
        <v>271</v>
      </c>
      <c r="I31" s="72" t="s">
        <v>272</v>
      </c>
      <c r="J31" s="82">
        <v>20240499</v>
      </c>
      <c r="K31" s="69" t="s">
        <v>8</v>
      </c>
      <c r="L31" s="50" t="s">
        <v>84</v>
      </c>
      <c r="M31" s="69" t="s">
        <v>17</v>
      </c>
      <c r="N31" s="80" t="s">
        <v>273</v>
      </c>
      <c r="O31" s="90" t="s">
        <v>274</v>
      </c>
      <c r="P31" s="91">
        <v>0</v>
      </c>
      <c r="Q31" s="82" t="s">
        <v>275</v>
      </c>
      <c r="R31" s="69" t="s">
        <v>73</v>
      </c>
      <c r="S31" s="92" t="s">
        <v>276</v>
      </c>
      <c r="T31" s="77" t="s">
        <v>276</v>
      </c>
      <c r="U31" s="78">
        <v>45593</v>
      </c>
    </row>
    <row r="32" spans="1:21" ht="72.599999999999994" hidden="1">
      <c r="A32" s="68" t="s">
        <v>277</v>
      </c>
      <c r="B32" s="69" t="s">
        <v>72</v>
      </c>
      <c r="C32" s="50" t="s">
        <v>84</v>
      </c>
      <c r="D32" s="70">
        <v>45294</v>
      </c>
      <c r="E32" s="71" t="s">
        <v>278</v>
      </c>
      <c r="F32" s="71" t="s">
        <v>71</v>
      </c>
      <c r="G32" s="69" t="s">
        <v>73</v>
      </c>
      <c r="H32" s="72" t="s">
        <v>279</v>
      </c>
      <c r="I32" s="72" t="s">
        <v>87</v>
      </c>
      <c r="J32" s="82">
        <v>20221727</v>
      </c>
      <c r="K32" s="69" t="s">
        <v>10</v>
      </c>
      <c r="L32" s="50" t="s">
        <v>84</v>
      </c>
      <c r="M32" s="69" t="s">
        <v>15</v>
      </c>
      <c r="N32" s="82" t="s">
        <v>280</v>
      </c>
      <c r="O32" s="88" t="s">
        <v>281</v>
      </c>
      <c r="P32" s="81">
        <v>1000</v>
      </c>
      <c r="Q32" s="82" t="s">
        <v>282</v>
      </c>
      <c r="R32" s="69" t="s">
        <v>73</v>
      </c>
      <c r="S32" s="69" t="s">
        <v>84</v>
      </c>
      <c r="T32" s="77" t="s">
        <v>84</v>
      </c>
      <c r="U32" s="93" t="s">
        <v>84</v>
      </c>
    </row>
    <row r="33" spans="1:22" ht="43.5" hidden="1">
      <c r="A33" s="68" t="s">
        <v>283</v>
      </c>
      <c r="B33" s="69" t="s">
        <v>69</v>
      </c>
      <c r="C33" s="50" t="s">
        <v>84</v>
      </c>
      <c r="D33" s="70">
        <v>45356</v>
      </c>
      <c r="E33" s="72" t="s">
        <v>165</v>
      </c>
      <c r="F33" s="71" t="s">
        <v>71</v>
      </c>
      <c r="G33" s="69" t="s">
        <v>70</v>
      </c>
      <c r="H33" s="72" t="s">
        <v>284</v>
      </c>
      <c r="I33" s="72" t="s">
        <v>87</v>
      </c>
      <c r="J33" s="82">
        <v>20230972</v>
      </c>
      <c r="K33" s="69" t="s">
        <v>11</v>
      </c>
      <c r="L33" s="50" t="s">
        <v>84</v>
      </c>
      <c r="M33" s="69" t="s">
        <v>19</v>
      </c>
      <c r="N33" s="80" t="s">
        <v>285</v>
      </c>
      <c r="O33" s="87" t="s">
        <v>286</v>
      </c>
      <c r="P33" s="91">
        <v>0</v>
      </c>
      <c r="Q33" s="82" t="s">
        <v>287</v>
      </c>
      <c r="R33" s="69" t="s">
        <v>73</v>
      </c>
      <c r="S33" s="92" t="s">
        <v>276</v>
      </c>
      <c r="T33" s="77" t="s">
        <v>276</v>
      </c>
      <c r="U33" s="93" t="s">
        <v>288</v>
      </c>
    </row>
    <row r="34" spans="1:22" ht="63" hidden="1" customHeight="1">
      <c r="A34" s="68" t="s">
        <v>289</v>
      </c>
      <c r="B34" s="69" t="s">
        <v>69</v>
      </c>
      <c r="C34" s="50" t="s">
        <v>84</v>
      </c>
      <c r="D34" s="70">
        <v>45356</v>
      </c>
      <c r="E34" s="72" t="s">
        <v>165</v>
      </c>
      <c r="F34" s="71" t="s">
        <v>71</v>
      </c>
      <c r="G34" s="69" t="s">
        <v>70</v>
      </c>
      <c r="H34" s="72" t="s">
        <v>290</v>
      </c>
      <c r="I34" s="72" t="s">
        <v>87</v>
      </c>
      <c r="J34" s="82">
        <v>20230972</v>
      </c>
      <c r="K34" s="69" t="s">
        <v>10</v>
      </c>
      <c r="L34" s="50" t="s">
        <v>84</v>
      </c>
      <c r="M34" s="69" t="s">
        <v>17</v>
      </c>
      <c r="N34" s="80" t="s">
        <v>291</v>
      </c>
      <c r="O34" s="80" t="s">
        <v>292</v>
      </c>
      <c r="P34" s="91">
        <v>0</v>
      </c>
      <c r="Q34" s="82" t="s">
        <v>293</v>
      </c>
      <c r="R34" s="69" t="s">
        <v>73</v>
      </c>
      <c r="S34" s="92" t="s">
        <v>276</v>
      </c>
      <c r="T34" s="77" t="s">
        <v>276</v>
      </c>
      <c r="U34" s="93" t="s">
        <v>288</v>
      </c>
    </row>
    <row r="35" spans="1:22" ht="87" hidden="1">
      <c r="A35" s="68" t="s">
        <v>294</v>
      </c>
      <c r="B35" s="69" t="s">
        <v>72</v>
      </c>
      <c r="C35" s="50" t="s">
        <v>84</v>
      </c>
      <c r="D35" s="70">
        <v>45478</v>
      </c>
      <c r="E35" s="71" t="s">
        <v>136</v>
      </c>
      <c r="F35" s="71" t="s">
        <v>71</v>
      </c>
      <c r="G35" s="69" t="s">
        <v>73</v>
      </c>
      <c r="H35" s="72" t="s">
        <v>295</v>
      </c>
      <c r="I35" s="72" t="s">
        <v>138</v>
      </c>
      <c r="J35" s="82" t="s">
        <v>296</v>
      </c>
      <c r="K35" s="69" t="s">
        <v>11</v>
      </c>
      <c r="L35" s="50" t="s">
        <v>84</v>
      </c>
      <c r="M35" s="69" t="s">
        <v>17</v>
      </c>
      <c r="N35" s="80" t="s">
        <v>297</v>
      </c>
      <c r="O35" s="94" t="s">
        <v>298</v>
      </c>
      <c r="P35" s="75">
        <v>1275.0999999999999</v>
      </c>
      <c r="Q35" s="82" t="s">
        <v>299</v>
      </c>
      <c r="R35" s="69" t="s">
        <v>73</v>
      </c>
      <c r="S35" s="92" t="s">
        <v>276</v>
      </c>
      <c r="T35" s="77" t="s">
        <v>276</v>
      </c>
      <c r="U35" s="93">
        <v>45484</v>
      </c>
    </row>
    <row r="36" spans="1:22" ht="57.95" hidden="1">
      <c r="A36" s="68" t="s">
        <v>300</v>
      </c>
      <c r="B36" s="69" t="s">
        <v>72</v>
      </c>
      <c r="C36" s="50" t="s">
        <v>84</v>
      </c>
      <c r="D36" s="70">
        <v>45401</v>
      </c>
      <c r="E36" s="71" t="s">
        <v>301</v>
      </c>
      <c r="F36" s="71" t="s">
        <v>71</v>
      </c>
      <c r="G36" s="69" t="s">
        <v>73</v>
      </c>
      <c r="H36" s="72" t="s">
        <v>302</v>
      </c>
      <c r="I36" s="72" t="s">
        <v>87</v>
      </c>
      <c r="J36" s="82">
        <v>20212256</v>
      </c>
      <c r="K36" s="69" t="s">
        <v>12</v>
      </c>
      <c r="L36" s="50" t="s">
        <v>84</v>
      </c>
      <c r="M36" s="69" t="s">
        <v>19</v>
      </c>
      <c r="N36" s="74" t="s">
        <v>303</v>
      </c>
      <c r="O36" s="95" t="s">
        <v>304</v>
      </c>
      <c r="P36" s="91">
        <v>0</v>
      </c>
      <c r="Q36" s="82" t="s">
        <v>305</v>
      </c>
      <c r="R36" s="69" t="s">
        <v>73</v>
      </c>
      <c r="S36" s="92" t="s">
        <v>84</v>
      </c>
      <c r="T36" s="77" t="s">
        <v>84</v>
      </c>
      <c r="U36" s="93" t="s">
        <v>306</v>
      </c>
    </row>
    <row r="37" spans="1:22" ht="119.25" hidden="1" customHeight="1">
      <c r="A37" s="68" t="s">
        <v>307</v>
      </c>
      <c r="B37" s="82" t="s">
        <v>72</v>
      </c>
      <c r="C37" s="50" t="s">
        <v>84</v>
      </c>
      <c r="D37" s="96">
        <v>45401</v>
      </c>
      <c r="E37" s="71" t="s">
        <v>301</v>
      </c>
      <c r="F37" s="71" t="s">
        <v>71</v>
      </c>
      <c r="G37" s="82" t="s">
        <v>73</v>
      </c>
      <c r="H37" s="72" t="s">
        <v>302</v>
      </c>
      <c r="I37" s="72" t="s">
        <v>308</v>
      </c>
      <c r="J37" s="82">
        <v>20240540</v>
      </c>
      <c r="K37" s="82" t="s">
        <v>12</v>
      </c>
      <c r="L37" s="50" t="s">
        <v>84</v>
      </c>
      <c r="M37" s="82" t="s">
        <v>19</v>
      </c>
      <c r="N37" s="74" t="s">
        <v>309</v>
      </c>
      <c r="O37" s="74" t="s">
        <v>310</v>
      </c>
      <c r="P37" s="81">
        <v>0</v>
      </c>
      <c r="Q37" s="82" t="s">
        <v>311</v>
      </c>
      <c r="R37" s="82" t="s">
        <v>73</v>
      </c>
      <c r="S37" s="92" t="s">
        <v>84</v>
      </c>
      <c r="T37" s="77" t="s">
        <v>84</v>
      </c>
      <c r="U37" s="78" t="s">
        <v>288</v>
      </c>
    </row>
    <row r="38" spans="1:22" ht="144.94999999999999" hidden="1">
      <c r="A38" s="68" t="s">
        <v>312</v>
      </c>
      <c r="B38" s="69" t="s">
        <v>72</v>
      </c>
      <c r="C38" s="50" t="s">
        <v>84</v>
      </c>
      <c r="D38" s="70">
        <v>45422</v>
      </c>
      <c r="E38" s="71" t="s">
        <v>313</v>
      </c>
      <c r="F38" s="71" t="s">
        <v>71</v>
      </c>
      <c r="G38" s="69" t="s">
        <v>70</v>
      </c>
      <c r="H38" s="72" t="s">
        <v>314</v>
      </c>
      <c r="I38" s="72" t="s">
        <v>264</v>
      </c>
      <c r="J38" s="82" t="s">
        <v>315</v>
      </c>
      <c r="K38" s="69" t="s">
        <v>11</v>
      </c>
      <c r="L38" s="50" t="s">
        <v>84</v>
      </c>
      <c r="M38" s="69" t="s">
        <v>19</v>
      </c>
      <c r="N38" s="80" t="s">
        <v>316</v>
      </c>
      <c r="O38" s="80" t="s">
        <v>317</v>
      </c>
      <c r="P38" s="91">
        <v>0</v>
      </c>
      <c r="Q38" s="74" t="s">
        <v>318</v>
      </c>
      <c r="R38" s="69" t="s">
        <v>70</v>
      </c>
      <c r="S38" s="97" t="s">
        <v>319</v>
      </c>
      <c r="T38" s="98" t="s">
        <v>319</v>
      </c>
      <c r="U38" s="93">
        <v>45447</v>
      </c>
    </row>
    <row r="39" spans="1:22" s="1" customFormat="1" ht="130.5" hidden="1">
      <c r="A39" s="68" t="s">
        <v>320</v>
      </c>
      <c r="B39" s="69" t="s">
        <v>72</v>
      </c>
      <c r="C39" s="50" t="s">
        <v>84</v>
      </c>
      <c r="D39" s="70">
        <v>45423</v>
      </c>
      <c r="E39" s="71" t="s">
        <v>313</v>
      </c>
      <c r="F39" s="71" t="s">
        <v>71</v>
      </c>
      <c r="G39" s="69" t="s">
        <v>70</v>
      </c>
      <c r="H39" s="72" t="s">
        <v>263</v>
      </c>
      <c r="I39" s="72" t="s">
        <v>264</v>
      </c>
      <c r="J39" s="82" t="s">
        <v>321</v>
      </c>
      <c r="K39" s="69" t="s">
        <v>11</v>
      </c>
      <c r="L39" s="50" t="s">
        <v>84</v>
      </c>
      <c r="M39" s="69" t="s">
        <v>16</v>
      </c>
      <c r="N39" s="80" t="s">
        <v>322</v>
      </c>
      <c r="O39" s="80" t="s">
        <v>323</v>
      </c>
      <c r="P39" s="91">
        <v>173.21</v>
      </c>
      <c r="Q39" s="74" t="s">
        <v>324</v>
      </c>
      <c r="R39" s="69" t="s">
        <v>70</v>
      </c>
      <c r="S39" s="95" t="s">
        <v>325</v>
      </c>
      <c r="T39" s="98" t="s">
        <v>325</v>
      </c>
      <c r="U39" s="93">
        <v>45447</v>
      </c>
    </row>
    <row r="40" spans="1:22" ht="87.6" hidden="1" customHeight="1">
      <c r="A40" s="68" t="s">
        <v>326</v>
      </c>
      <c r="B40" s="17" t="s">
        <v>69</v>
      </c>
      <c r="C40" s="50" t="s">
        <v>84</v>
      </c>
      <c r="D40" s="96">
        <v>45428</v>
      </c>
      <c r="E40" s="54" t="s">
        <v>165</v>
      </c>
      <c r="F40" s="71" t="s">
        <v>71</v>
      </c>
      <c r="G40" s="17" t="s">
        <v>70</v>
      </c>
      <c r="H40" s="50" t="s">
        <v>327</v>
      </c>
      <c r="I40" s="50" t="s">
        <v>87</v>
      </c>
      <c r="J40" s="25">
        <v>20230317</v>
      </c>
      <c r="K40" s="17" t="s">
        <v>9</v>
      </c>
      <c r="L40" s="50" t="s">
        <v>84</v>
      </c>
      <c r="M40" s="17" t="s">
        <v>17</v>
      </c>
      <c r="N40" s="25" t="s">
        <v>328</v>
      </c>
      <c r="O40" s="24" t="s">
        <v>329</v>
      </c>
      <c r="P40" s="26">
        <v>0</v>
      </c>
      <c r="Q40" s="25" t="s">
        <v>330</v>
      </c>
      <c r="R40" s="17" t="s">
        <v>73</v>
      </c>
      <c r="S40" s="23" t="s">
        <v>84</v>
      </c>
      <c r="T40" s="60" t="s">
        <v>84</v>
      </c>
      <c r="U40" s="20">
        <v>45428</v>
      </c>
    </row>
    <row r="41" spans="1:22" ht="43.5" hidden="1">
      <c r="A41" s="68" t="s">
        <v>331</v>
      </c>
      <c r="B41" s="17" t="s">
        <v>69</v>
      </c>
      <c r="C41" s="50" t="s">
        <v>84</v>
      </c>
      <c r="D41" s="96">
        <v>45426</v>
      </c>
      <c r="E41" s="54" t="s">
        <v>165</v>
      </c>
      <c r="F41" s="71" t="s">
        <v>71</v>
      </c>
      <c r="G41" s="17" t="s">
        <v>70</v>
      </c>
      <c r="H41" s="50" t="s">
        <v>332</v>
      </c>
      <c r="I41" s="50" t="s">
        <v>87</v>
      </c>
      <c r="J41" s="25">
        <v>20222599</v>
      </c>
      <c r="K41" s="17" t="s">
        <v>12</v>
      </c>
      <c r="L41" s="50" t="s">
        <v>84</v>
      </c>
      <c r="M41" s="17" t="s">
        <v>17</v>
      </c>
      <c r="N41" s="24" t="s">
        <v>333</v>
      </c>
      <c r="O41" s="24" t="s">
        <v>334</v>
      </c>
      <c r="P41" s="26">
        <v>0</v>
      </c>
      <c r="Q41" s="25" t="s">
        <v>335</v>
      </c>
      <c r="R41" s="17" t="s">
        <v>73</v>
      </c>
      <c r="S41" s="23" t="s">
        <v>84</v>
      </c>
      <c r="T41" s="60" t="s">
        <v>84</v>
      </c>
      <c r="U41" s="20">
        <v>45428</v>
      </c>
    </row>
    <row r="42" spans="1:22" ht="101.45" hidden="1">
      <c r="A42" s="68" t="s">
        <v>336</v>
      </c>
      <c r="B42" s="17" t="s">
        <v>72</v>
      </c>
      <c r="C42" s="50" t="s">
        <v>84</v>
      </c>
      <c r="D42" s="49">
        <v>45426</v>
      </c>
      <c r="E42" s="54" t="s">
        <v>337</v>
      </c>
      <c r="F42" s="71" t="s">
        <v>71</v>
      </c>
      <c r="G42" s="17" t="s">
        <v>73</v>
      </c>
      <c r="H42" s="50" t="s">
        <v>338</v>
      </c>
      <c r="I42" s="50" t="s">
        <v>87</v>
      </c>
      <c r="J42" s="25">
        <v>20230704</v>
      </c>
      <c r="K42" s="17" t="s">
        <v>10</v>
      </c>
      <c r="L42" s="50" t="s">
        <v>84</v>
      </c>
      <c r="M42" s="17" t="s">
        <v>15</v>
      </c>
      <c r="N42" s="24" t="s">
        <v>339</v>
      </c>
      <c r="O42" s="24" t="s">
        <v>340</v>
      </c>
      <c r="P42" s="22" t="s">
        <v>341</v>
      </c>
      <c r="Q42" s="25" t="s">
        <v>342</v>
      </c>
      <c r="R42" s="17" t="s">
        <v>73</v>
      </c>
      <c r="S42" s="23" t="s">
        <v>84</v>
      </c>
      <c r="T42" s="60" t="s">
        <v>84</v>
      </c>
      <c r="U42" s="20">
        <v>45617</v>
      </c>
      <c r="V42" s="16"/>
    </row>
    <row r="43" spans="1:22" ht="29.1" hidden="1">
      <c r="A43" s="68" t="s">
        <v>343</v>
      </c>
      <c r="B43" s="17" t="s">
        <v>69</v>
      </c>
      <c r="C43" s="50" t="s">
        <v>84</v>
      </c>
      <c r="D43" s="49">
        <v>45414</v>
      </c>
      <c r="E43" s="54" t="s">
        <v>205</v>
      </c>
      <c r="F43" s="71" t="s">
        <v>71</v>
      </c>
      <c r="G43" s="17" t="s">
        <v>70</v>
      </c>
      <c r="H43" s="50" t="s">
        <v>344</v>
      </c>
      <c r="I43" s="50" t="s">
        <v>190</v>
      </c>
      <c r="J43" s="25">
        <v>20180188</v>
      </c>
      <c r="K43" s="17" t="s">
        <v>11</v>
      </c>
      <c r="L43" s="50" t="s">
        <v>84</v>
      </c>
      <c r="M43" s="17" t="s">
        <v>21</v>
      </c>
      <c r="N43" s="24" t="s">
        <v>345</v>
      </c>
      <c r="O43" s="21" t="s">
        <v>346</v>
      </c>
      <c r="P43" s="99">
        <f>0.537*400</f>
        <v>214.8</v>
      </c>
      <c r="Q43" s="68" t="s">
        <v>347</v>
      </c>
      <c r="R43" s="100" t="s">
        <v>73</v>
      </c>
      <c r="S43" s="100" t="s">
        <v>276</v>
      </c>
      <c r="T43" s="60" t="s">
        <v>348</v>
      </c>
      <c r="U43" s="101">
        <v>45447</v>
      </c>
    </row>
    <row r="44" spans="1:22" ht="29.1" hidden="1">
      <c r="A44" s="68" t="s">
        <v>349</v>
      </c>
      <c r="B44" s="17" t="s">
        <v>69</v>
      </c>
      <c r="C44" s="50" t="s">
        <v>84</v>
      </c>
      <c r="D44" s="49">
        <v>45406</v>
      </c>
      <c r="E44" s="54" t="s">
        <v>205</v>
      </c>
      <c r="F44" s="71" t="s">
        <v>71</v>
      </c>
      <c r="G44" s="17" t="s">
        <v>73</v>
      </c>
      <c r="H44" s="50" t="s">
        <v>350</v>
      </c>
      <c r="I44" s="50" t="s">
        <v>351</v>
      </c>
      <c r="J44" s="25">
        <v>20201849</v>
      </c>
      <c r="K44" s="17" t="s">
        <v>11</v>
      </c>
      <c r="L44" s="50" t="s">
        <v>84</v>
      </c>
      <c r="M44" s="17" t="s">
        <v>17</v>
      </c>
      <c r="N44" s="24" t="s">
        <v>352</v>
      </c>
      <c r="O44" s="21" t="s">
        <v>353</v>
      </c>
      <c r="P44" s="99" t="s">
        <v>354</v>
      </c>
      <c r="Q44" s="68" t="s">
        <v>355</v>
      </c>
      <c r="R44" s="100" t="s">
        <v>73</v>
      </c>
      <c r="S44" s="100" t="s">
        <v>276</v>
      </c>
      <c r="T44" s="60" t="s">
        <v>276</v>
      </c>
      <c r="U44" s="101">
        <v>45532</v>
      </c>
    </row>
    <row r="45" spans="1:22" ht="29.1" hidden="1">
      <c r="A45" s="68" t="s">
        <v>356</v>
      </c>
      <c r="B45" s="17" t="s">
        <v>72</v>
      </c>
      <c r="C45" s="50" t="s">
        <v>84</v>
      </c>
      <c r="D45" s="49">
        <v>45458</v>
      </c>
      <c r="E45" s="54" t="s">
        <v>205</v>
      </c>
      <c r="F45" s="71" t="s">
        <v>71</v>
      </c>
      <c r="G45" s="17" t="s">
        <v>70</v>
      </c>
      <c r="H45" s="50" t="s">
        <v>357</v>
      </c>
      <c r="I45" s="50" t="s">
        <v>190</v>
      </c>
      <c r="J45" s="25" t="s">
        <v>191</v>
      </c>
      <c r="K45" s="17" t="s">
        <v>11</v>
      </c>
      <c r="L45" s="50" t="s">
        <v>84</v>
      </c>
      <c r="M45" s="17" t="s">
        <v>16</v>
      </c>
      <c r="N45" s="24" t="s">
        <v>358</v>
      </c>
      <c r="O45" s="21" t="s">
        <v>359</v>
      </c>
      <c r="P45" s="99" t="s">
        <v>360</v>
      </c>
      <c r="Q45" s="68" t="s">
        <v>361</v>
      </c>
      <c r="R45" s="100" t="s">
        <v>73</v>
      </c>
      <c r="S45" s="100" t="s">
        <v>84</v>
      </c>
      <c r="T45" s="60" t="s">
        <v>84</v>
      </c>
      <c r="U45" s="101" t="s">
        <v>362</v>
      </c>
    </row>
    <row r="46" spans="1:22" ht="14.45" hidden="1">
      <c r="A46" s="68" t="s">
        <v>363</v>
      </c>
      <c r="B46" s="17" t="s">
        <v>72</v>
      </c>
      <c r="C46" s="50" t="s">
        <v>84</v>
      </c>
      <c r="D46" s="49">
        <v>45418</v>
      </c>
      <c r="E46" s="54" t="s">
        <v>205</v>
      </c>
      <c r="F46" s="71" t="s">
        <v>71</v>
      </c>
      <c r="G46" s="17" t="s">
        <v>70</v>
      </c>
      <c r="H46" s="50" t="s">
        <v>364</v>
      </c>
      <c r="I46" s="50" t="s">
        <v>190</v>
      </c>
      <c r="J46" s="25" t="s">
        <v>365</v>
      </c>
      <c r="K46" s="17" t="s">
        <v>11</v>
      </c>
      <c r="L46" s="50" t="s">
        <v>84</v>
      </c>
      <c r="M46" s="100" t="s">
        <v>20</v>
      </c>
      <c r="N46" s="24" t="s">
        <v>366</v>
      </c>
      <c r="O46" s="21" t="s">
        <v>367</v>
      </c>
      <c r="P46" s="99" t="s">
        <v>368</v>
      </c>
      <c r="Q46" s="68" t="s">
        <v>361</v>
      </c>
      <c r="R46" s="100" t="s">
        <v>73</v>
      </c>
      <c r="S46" s="100" t="s">
        <v>276</v>
      </c>
      <c r="T46" s="60" t="s">
        <v>276</v>
      </c>
      <c r="U46" s="101">
        <v>45532</v>
      </c>
    </row>
    <row r="47" spans="1:22" ht="101.45" hidden="1">
      <c r="A47" s="68" t="s">
        <v>369</v>
      </c>
      <c r="B47" s="17" t="s">
        <v>76</v>
      </c>
      <c r="C47" s="50" t="s">
        <v>84</v>
      </c>
      <c r="D47" s="49">
        <v>45336</v>
      </c>
      <c r="E47" s="54" t="s">
        <v>370</v>
      </c>
      <c r="F47" s="71" t="s">
        <v>71</v>
      </c>
      <c r="G47" s="17" t="s">
        <v>70</v>
      </c>
      <c r="H47" s="50" t="s">
        <v>371</v>
      </c>
      <c r="I47" s="50" t="s">
        <v>372</v>
      </c>
      <c r="J47" s="25" t="s">
        <v>373</v>
      </c>
      <c r="K47" s="17" t="s">
        <v>10</v>
      </c>
      <c r="L47" s="50" t="s">
        <v>84</v>
      </c>
      <c r="M47" s="17" t="s">
        <v>19</v>
      </c>
      <c r="N47" s="24" t="s">
        <v>374</v>
      </c>
      <c r="O47" s="21" t="s">
        <v>375</v>
      </c>
      <c r="P47" s="22" t="s">
        <v>84</v>
      </c>
      <c r="Q47" s="25" t="s">
        <v>376</v>
      </c>
      <c r="R47" s="17" t="s">
        <v>73</v>
      </c>
      <c r="S47" s="17" t="s">
        <v>84</v>
      </c>
      <c r="T47" s="60" t="s">
        <v>84</v>
      </c>
      <c r="U47" s="20">
        <v>45366</v>
      </c>
    </row>
    <row r="48" spans="1:22" ht="72.599999999999994" hidden="1">
      <c r="A48" s="68" t="s">
        <v>377</v>
      </c>
      <c r="B48" s="17" t="s">
        <v>72</v>
      </c>
      <c r="C48" s="50" t="s">
        <v>84</v>
      </c>
      <c r="D48" s="49">
        <v>45434</v>
      </c>
      <c r="E48" s="54" t="s">
        <v>378</v>
      </c>
      <c r="F48" s="71" t="s">
        <v>71</v>
      </c>
      <c r="G48" s="17" t="s">
        <v>73</v>
      </c>
      <c r="H48" s="50" t="s">
        <v>379</v>
      </c>
      <c r="I48" s="50" t="s">
        <v>87</v>
      </c>
      <c r="J48" s="25">
        <v>20221310</v>
      </c>
      <c r="K48" s="17" t="s">
        <v>10</v>
      </c>
      <c r="L48" s="50" t="s">
        <v>84</v>
      </c>
      <c r="M48" s="17" t="s">
        <v>14</v>
      </c>
      <c r="N48" s="24" t="s">
        <v>380</v>
      </c>
      <c r="O48" s="24" t="s">
        <v>381</v>
      </c>
      <c r="P48" s="22">
        <v>3833</v>
      </c>
      <c r="Q48" s="25" t="s">
        <v>382</v>
      </c>
      <c r="R48" s="17" t="s">
        <v>73</v>
      </c>
      <c r="S48" s="102" t="s">
        <v>84</v>
      </c>
      <c r="T48" s="67" t="s">
        <v>84</v>
      </c>
      <c r="U48" s="20" t="s">
        <v>383</v>
      </c>
    </row>
    <row r="49" spans="1:21" ht="29.1" hidden="1">
      <c r="A49" s="68" t="s">
        <v>384</v>
      </c>
      <c r="B49" s="17" t="s">
        <v>72</v>
      </c>
      <c r="C49" s="50" t="s">
        <v>84</v>
      </c>
      <c r="D49" s="49">
        <v>45434</v>
      </c>
      <c r="E49" s="54" t="s">
        <v>378</v>
      </c>
      <c r="F49" s="71" t="s">
        <v>71</v>
      </c>
      <c r="G49" s="17" t="s">
        <v>73</v>
      </c>
      <c r="H49" s="50" t="s">
        <v>385</v>
      </c>
      <c r="I49" s="50" t="s">
        <v>87</v>
      </c>
      <c r="J49" s="25">
        <v>20221310</v>
      </c>
      <c r="K49" s="17" t="s">
        <v>10</v>
      </c>
      <c r="L49" s="50" t="s">
        <v>84</v>
      </c>
      <c r="M49" s="17" t="s">
        <v>14</v>
      </c>
      <c r="N49" s="24" t="s">
        <v>386</v>
      </c>
      <c r="O49" s="24" t="s">
        <v>387</v>
      </c>
      <c r="P49" s="26" t="s">
        <v>388</v>
      </c>
      <c r="Q49" s="25" t="s">
        <v>389</v>
      </c>
      <c r="R49" s="17" t="s">
        <v>73</v>
      </c>
      <c r="S49" s="102" t="s">
        <v>84</v>
      </c>
      <c r="T49" s="67" t="s">
        <v>84</v>
      </c>
      <c r="U49" s="20" t="s">
        <v>383</v>
      </c>
    </row>
    <row r="50" spans="1:21" ht="130.5" hidden="1">
      <c r="A50" s="68" t="s">
        <v>390</v>
      </c>
      <c r="B50" s="17" t="s">
        <v>69</v>
      </c>
      <c r="C50" s="50" t="s">
        <v>84</v>
      </c>
      <c r="D50" s="49">
        <v>45439</v>
      </c>
      <c r="E50" s="54" t="s">
        <v>165</v>
      </c>
      <c r="F50" s="71" t="s">
        <v>71</v>
      </c>
      <c r="G50" s="17" t="s">
        <v>70</v>
      </c>
      <c r="H50" s="50" t="s">
        <v>391</v>
      </c>
      <c r="I50" s="50" t="s">
        <v>87</v>
      </c>
      <c r="J50" s="25">
        <v>20222602</v>
      </c>
      <c r="K50" s="17" t="s">
        <v>10</v>
      </c>
      <c r="L50" s="50" t="s">
        <v>84</v>
      </c>
      <c r="M50" s="100" t="s">
        <v>19</v>
      </c>
      <c r="N50" s="103" t="s">
        <v>392</v>
      </c>
      <c r="O50" s="24" t="s">
        <v>393</v>
      </c>
      <c r="P50" s="26">
        <v>0</v>
      </c>
      <c r="Q50" s="52" t="s">
        <v>394</v>
      </c>
      <c r="R50" s="17" t="s">
        <v>73</v>
      </c>
      <c r="S50" s="102" t="s">
        <v>84</v>
      </c>
      <c r="T50" s="67" t="s">
        <v>84</v>
      </c>
      <c r="U50" s="20" t="s">
        <v>395</v>
      </c>
    </row>
    <row r="51" spans="1:21" ht="43.5" hidden="1">
      <c r="A51" s="68" t="s">
        <v>396</v>
      </c>
      <c r="B51" s="17" t="s">
        <v>69</v>
      </c>
      <c r="C51" s="50" t="s">
        <v>84</v>
      </c>
      <c r="D51" s="49">
        <v>45439</v>
      </c>
      <c r="E51" s="54" t="s">
        <v>397</v>
      </c>
      <c r="F51" s="71" t="s">
        <v>71</v>
      </c>
      <c r="G51" s="17" t="s">
        <v>70</v>
      </c>
      <c r="H51" s="50" t="s">
        <v>398</v>
      </c>
      <c r="I51" s="50" t="s">
        <v>87</v>
      </c>
      <c r="J51" s="50" t="s">
        <v>399</v>
      </c>
      <c r="K51" s="17" t="s">
        <v>10</v>
      </c>
      <c r="L51" s="50" t="s">
        <v>84</v>
      </c>
      <c r="M51" s="17" t="s">
        <v>17</v>
      </c>
      <c r="N51" s="24" t="s">
        <v>400</v>
      </c>
      <c r="O51" s="104" t="s">
        <v>401</v>
      </c>
      <c r="P51" s="22">
        <v>0</v>
      </c>
      <c r="Q51" s="104" t="s">
        <v>402</v>
      </c>
      <c r="R51" s="25" t="s">
        <v>73</v>
      </c>
      <c r="S51" s="23" t="s">
        <v>84</v>
      </c>
      <c r="T51" s="60" t="s">
        <v>84</v>
      </c>
      <c r="U51" s="20">
        <v>45441</v>
      </c>
    </row>
    <row r="52" spans="1:21" ht="29.1" hidden="1">
      <c r="A52" s="68" t="s">
        <v>403</v>
      </c>
      <c r="B52" s="17" t="s">
        <v>69</v>
      </c>
      <c r="C52" s="50" t="s">
        <v>84</v>
      </c>
      <c r="D52" s="49">
        <v>45292</v>
      </c>
      <c r="E52" s="54" t="s">
        <v>404</v>
      </c>
      <c r="F52" s="71" t="s">
        <v>71</v>
      </c>
      <c r="G52" s="17" t="s">
        <v>73</v>
      </c>
      <c r="H52" s="50" t="s">
        <v>405</v>
      </c>
      <c r="I52" s="50" t="s">
        <v>207</v>
      </c>
      <c r="J52" s="25">
        <v>20222374</v>
      </c>
      <c r="K52" s="17" t="s">
        <v>9</v>
      </c>
      <c r="L52" s="50" t="s">
        <v>84</v>
      </c>
      <c r="M52" s="100" t="s">
        <v>19</v>
      </c>
      <c r="N52" s="103" t="s">
        <v>406</v>
      </c>
      <c r="O52" s="24" t="s">
        <v>407</v>
      </c>
      <c r="P52" s="22" t="s">
        <v>408</v>
      </c>
      <c r="Q52" s="25" t="s">
        <v>409</v>
      </c>
      <c r="R52" s="17" t="s">
        <v>73</v>
      </c>
      <c r="S52" s="23" t="s">
        <v>84</v>
      </c>
      <c r="T52" s="60" t="s">
        <v>84</v>
      </c>
      <c r="U52" s="20">
        <v>45383</v>
      </c>
    </row>
    <row r="53" spans="1:21" ht="43.5" hidden="1">
      <c r="A53" s="68" t="s">
        <v>410</v>
      </c>
      <c r="B53" s="17" t="s">
        <v>69</v>
      </c>
      <c r="C53" s="50" t="s">
        <v>84</v>
      </c>
      <c r="D53" s="49">
        <v>45323</v>
      </c>
      <c r="E53" s="54" t="s">
        <v>404</v>
      </c>
      <c r="F53" s="71" t="s">
        <v>71</v>
      </c>
      <c r="G53" s="17" t="s">
        <v>73</v>
      </c>
      <c r="H53" s="50" t="s">
        <v>405</v>
      </c>
      <c r="I53" s="50" t="s">
        <v>207</v>
      </c>
      <c r="J53" s="25">
        <v>20230382</v>
      </c>
      <c r="K53" s="17" t="s">
        <v>9</v>
      </c>
      <c r="L53" s="50" t="s">
        <v>84</v>
      </c>
      <c r="M53" s="100" t="s">
        <v>19</v>
      </c>
      <c r="N53" s="103" t="s">
        <v>411</v>
      </c>
      <c r="O53" s="24" t="s">
        <v>412</v>
      </c>
      <c r="P53" s="22" t="s">
        <v>408</v>
      </c>
      <c r="Q53" s="25" t="s">
        <v>413</v>
      </c>
      <c r="R53" s="17" t="s">
        <v>73</v>
      </c>
      <c r="S53" s="23" t="s">
        <v>84</v>
      </c>
      <c r="T53" s="60" t="s">
        <v>84</v>
      </c>
      <c r="U53" s="20">
        <v>45383</v>
      </c>
    </row>
    <row r="54" spans="1:21" ht="57.95" hidden="1">
      <c r="A54" s="68" t="s">
        <v>414</v>
      </c>
      <c r="B54" s="17" t="s">
        <v>76</v>
      </c>
      <c r="C54" s="50" t="s">
        <v>84</v>
      </c>
      <c r="D54" s="49">
        <v>45412</v>
      </c>
      <c r="E54" s="54" t="s">
        <v>415</v>
      </c>
      <c r="F54" s="71" t="s">
        <v>71</v>
      </c>
      <c r="G54" s="17" t="s">
        <v>73</v>
      </c>
      <c r="H54" s="50" t="s">
        <v>416</v>
      </c>
      <c r="I54" s="50" t="s">
        <v>417</v>
      </c>
      <c r="J54" s="25">
        <v>20240354</v>
      </c>
      <c r="K54" s="17" t="s">
        <v>10</v>
      </c>
      <c r="L54" s="50" t="s">
        <v>84</v>
      </c>
      <c r="M54" s="17" t="s">
        <v>15</v>
      </c>
      <c r="N54" s="24" t="s">
        <v>418</v>
      </c>
      <c r="O54" s="24" t="s">
        <v>419</v>
      </c>
      <c r="P54" s="22" t="s">
        <v>408</v>
      </c>
      <c r="Q54" s="25" t="s">
        <v>420</v>
      </c>
      <c r="R54" s="17" t="s">
        <v>73</v>
      </c>
      <c r="S54" s="23" t="s">
        <v>84</v>
      </c>
      <c r="T54" s="60" t="s">
        <v>84</v>
      </c>
      <c r="U54" s="20">
        <v>45485</v>
      </c>
    </row>
    <row r="55" spans="1:21" ht="14.45" hidden="1">
      <c r="A55" s="105" t="s">
        <v>421</v>
      </c>
      <c r="B55" s="106"/>
      <c r="C55" s="50" t="s">
        <v>84</v>
      </c>
      <c r="D55" s="107"/>
      <c r="E55" s="108"/>
      <c r="F55" s="109" t="s">
        <v>71</v>
      </c>
      <c r="G55" s="106"/>
      <c r="H55" s="108"/>
      <c r="I55" s="108"/>
      <c r="J55" s="105"/>
      <c r="K55" s="106"/>
      <c r="L55" s="50" t="s">
        <v>84</v>
      </c>
      <c r="M55" s="106"/>
      <c r="N55" s="110"/>
      <c r="O55" s="111"/>
      <c r="P55" s="112"/>
      <c r="Q55" s="105"/>
      <c r="R55" s="106"/>
      <c r="S55" s="106"/>
      <c r="T55" s="113"/>
      <c r="U55" s="114"/>
    </row>
    <row r="56" spans="1:21" ht="130.5" hidden="1">
      <c r="A56" s="68" t="s">
        <v>422</v>
      </c>
      <c r="B56" s="17" t="s">
        <v>72</v>
      </c>
      <c r="C56" s="50" t="s">
        <v>84</v>
      </c>
      <c r="D56" s="49">
        <v>44713</v>
      </c>
      <c r="E56" s="54" t="s">
        <v>85</v>
      </c>
      <c r="F56" s="71" t="s">
        <v>71</v>
      </c>
      <c r="G56" s="17" t="s">
        <v>73</v>
      </c>
      <c r="H56" s="50" t="s">
        <v>423</v>
      </c>
      <c r="I56" s="50" t="s">
        <v>87</v>
      </c>
      <c r="J56" s="25">
        <v>20220453</v>
      </c>
      <c r="K56" s="17" t="s">
        <v>10</v>
      </c>
      <c r="L56" s="50" t="s">
        <v>84</v>
      </c>
      <c r="M56" s="17" t="s">
        <v>14</v>
      </c>
      <c r="N56" s="24" t="s">
        <v>424</v>
      </c>
      <c r="O56" s="24" t="s">
        <v>425</v>
      </c>
      <c r="P56" s="22" t="s">
        <v>426</v>
      </c>
      <c r="Q56" s="25" t="s">
        <v>427</v>
      </c>
      <c r="R56" s="17" t="s">
        <v>73</v>
      </c>
      <c r="S56" s="23" t="s">
        <v>84</v>
      </c>
      <c r="T56" s="60" t="s">
        <v>84</v>
      </c>
      <c r="U56" s="20">
        <v>45468</v>
      </c>
    </row>
    <row r="57" spans="1:21" ht="57.95" hidden="1">
      <c r="A57" s="68" t="s">
        <v>428</v>
      </c>
      <c r="B57" s="17" t="s">
        <v>69</v>
      </c>
      <c r="C57" s="50" t="s">
        <v>84</v>
      </c>
      <c r="D57" s="96">
        <v>45461</v>
      </c>
      <c r="E57" s="54" t="s">
        <v>165</v>
      </c>
      <c r="F57" s="71" t="s">
        <v>71</v>
      </c>
      <c r="G57" s="17" t="s">
        <v>70</v>
      </c>
      <c r="H57" s="50" t="s">
        <v>391</v>
      </c>
      <c r="I57" s="50" t="s">
        <v>87</v>
      </c>
      <c r="J57" s="25">
        <v>20222602</v>
      </c>
      <c r="K57" s="17" t="s">
        <v>10</v>
      </c>
      <c r="L57" s="50" t="s">
        <v>84</v>
      </c>
      <c r="M57" s="100" t="s">
        <v>19</v>
      </c>
      <c r="N57" s="103" t="s">
        <v>429</v>
      </c>
      <c r="O57" s="24" t="s">
        <v>430</v>
      </c>
      <c r="P57" s="26">
        <v>0</v>
      </c>
      <c r="Q57" s="25" t="s">
        <v>431</v>
      </c>
      <c r="R57" s="17" t="s">
        <v>73</v>
      </c>
      <c r="S57" s="23" t="s">
        <v>84</v>
      </c>
      <c r="T57" s="60" t="s">
        <v>84</v>
      </c>
      <c r="U57" s="20" t="s">
        <v>395</v>
      </c>
    </row>
    <row r="58" spans="1:21" ht="217.5" hidden="1">
      <c r="A58" s="68" t="s">
        <v>432</v>
      </c>
      <c r="B58" s="17" t="s">
        <v>72</v>
      </c>
      <c r="C58" s="50" t="s">
        <v>84</v>
      </c>
      <c r="D58" s="49">
        <v>45429</v>
      </c>
      <c r="E58" s="54" t="s">
        <v>433</v>
      </c>
      <c r="F58" s="71" t="s">
        <v>71</v>
      </c>
      <c r="G58" s="17" t="s">
        <v>70</v>
      </c>
      <c r="H58" s="50" t="s">
        <v>434</v>
      </c>
      <c r="I58" s="50" t="s">
        <v>95</v>
      </c>
      <c r="J58" s="25">
        <v>202301636</v>
      </c>
      <c r="K58" s="17" t="s">
        <v>11</v>
      </c>
      <c r="L58" s="50" t="s">
        <v>84</v>
      </c>
      <c r="M58" s="25" t="s">
        <v>16</v>
      </c>
      <c r="N58" s="24" t="s">
        <v>435</v>
      </c>
      <c r="O58" s="24" t="s">
        <v>436</v>
      </c>
      <c r="P58" s="26">
        <f>12*23.9+18*30.96</f>
        <v>844.07999999999993</v>
      </c>
      <c r="Q58" s="25" t="s">
        <v>84</v>
      </c>
      <c r="R58" s="17" t="s">
        <v>70</v>
      </c>
      <c r="S58" s="102" t="s">
        <v>437</v>
      </c>
      <c r="T58" s="67" t="s">
        <v>438</v>
      </c>
      <c r="U58" s="20" t="s">
        <v>306</v>
      </c>
    </row>
    <row r="59" spans="1:21" ht="290.10000000000002">
      <c r="A59" s="68" t="s">
        <v>439</v>
      </c>
      <c r="B59" s="17" t="s">
        <v>75</v>
      </c>
      <c r="C59" s="50" t="s">
        <v>84</v>
      </c>
      <c r="D59" s="49">
        <v>45471</v>
      </c>
      <c r="E59" s="54" t="s">
        <v>104</v>
      </c>
      <c r="F59" s="71" t="s">
        <v>71</v>
      </c>
      <c r="G59" s="17" t="s">
        <v>70</v>
      </c>
      <c r="H59" s="50" t="s">
        <v>440</v>
      </c>
      <c r="I59" s="50" t="s">
        <v>87</v>
      </c>
      <c r="J59" s="25">
        <v>20232506</v>
      </c>
      <c r="K59" s="17" t="s">
        <v>10</v>
      </c>
      <c r="L59" s="50" t="s">
        <v>84</v>
      </c>
      <c r="M59" s="17" t="s">
        <v>15</v>
      </c>
      <c r="N59" s="24" t="s">
        <v>441</v>
      </c>
      <c r="O59" s="21" t="s">
        <v>442</v>
      </c>
      <c r="P59" s="22">
        <v>0</v>
      </c>
      <c r="Q59" s="25" t="s">
        <v>443</v>
      </c>
      <c r="R59" s="17" t="s">
        <v>73</v>
      </c>
      <c r="S59" s="23" t="s">
        <v>84</v>
      </c>
      <c r="T59" s="60" t="s">
        <v>84</v>
      </c>
      <c r="U59" s="20">
        <v>45632</v>
      </c>
    </row>
    <row r="60" spans="1:21" ht="144.94999999999999" hidden="1">
      <c r="A60" s="68" t="s">
        <v>444</v>
      </c>
      <c r="B60" s="17" t="s">
        <v>76</v>
      </c>
      <c r="C60" s="50" t="s">
        <v>84</v>
      </c>
      <c r="D60" s="49">
        <v>45469</v>
      </c>
      <c r="E60" s="54" t="s">
        <v>301</v>
      </c>
      <c r="F60" s="71" t="s">
        <v>71</v>
      </c>
      <c r="G60" s="17" t="s">
        <v>73</v>
      </c>
      <c r="H60" s="50" t="s">
        <v>105</v>
      </c>
      <c r="I60" s="50" t="s">
        <v>84</v>
      </c>
      <c r="J60" s="25" t="s">
        <v>445</v>
      </c>
      <c r="K60" s="17" t="s">
        <v>10</v>
      </c>
      <c r="L60" s="50" t="s">
        <v>84</v>
      </c>
      <c r="M60" s="17" t="s">
        <v>15</v>
      </c>
      <c r="N60" s="36" t="s">
        <v>446</v>
      </c>
      <c r="O60" s="17" t="s">
        <v>447</v>
      </c>
      <c r="P60" s="22">
        <v>0</v>
      </c>
      <c r="Q60" s="115" t="s">
        <v>448</v>
      </c>
      <c r="R60" s="17" t="s">
        <v>73</v>
      </c>
      <c r="S60" s="23" t="s">
        <v>84</v>
      </c>
      <c r="T60" s="60" t="s">
        <v>84</v>
      </c>
      <c r="U60" s="20">
        <v>45489</v>
      </c>
    </row>
    <row r="61" spans="1:21" ht="145.35" hidden="1" customHeight="1">
      <c r="A61" s="68" t="s">
        <v>449</v>
      </c>
      <c r="B61" s="17" t="s">
        <v>72</v>
      </c>
      <c r="C61" s="50" t="s">
        <v>84</v>
      </c>
      <c r="D61" s="49">
        <v>45483</v>
      </c>
      <c r="E61" s="54" t="s">
        <v>313</v>
      </c>
      <c r="F61" s="71" t="s">
        <v>71</v>
      </c>
      <c r="G61" s="17" t="s">
        <v>70</v>
      </c>
      <c r="H61" s="50" t="s">
        <v>263</v>
      </c>
      <c r="I61" s="50" t="s">
        <v>264</v>
      </c>
      <c r="J61" s="25" t="s">
        <v>450</v>
      </c>
      <c r="K61" s="17" t="s">
        <v>9</v>
      </c>
      <c r="L61" s="50" t="s">
        <v>84</v>
      </c>
      <c r="M61" s="17" t="s">
        <v>19</v>
      </c>
      <c r="N61" s="24" t="s">
        <v>451</v>
      </c>
      <c r="O61" s="24" t="s">
        <v>452</v>
      </c>
      <c r="P61" s="22">
        <v>154.5</v>
      </c>
      <c r="Q61" s="115" t="s">
        <v>453</v>
      </c>
      <c r="R61" s="17" t="s">
        <v>70</v>
      </c>
      <c r="S61" s="116" t="s">
        <v>454</v>
      </c>
      <c r="T61" s="117" t="s">
        <v>454</v>
      </c>
      <c r="U61" s="20">
        <v>45488</v>
      </c>
    </row>
    <row r="62" spans="1:21" ht="217.5" hidden="1">
      <c r="A62" s="68" t="s">
        <v>455</v>
      </c>
      <c r="B62" s="17" t="s">
        <v>72</v>
      </c>
      <c r="C62" s="50" t="s">
        <v>84</v>
      </c>
      <c r="D62" s="49">
        <v>45474</v>
      </c>
      <c r="E62" s="54" t="s">
        <v>337</v>
      </c>
      <c r="F62" s="71" t="s">
        <v>71</v>
      </c>
      <c r="G62" s="17" t="s">
        <v>73</v>
      </c>
      <c r="H62" s="50" t="s">
        <v>456</v>
      </c>
      <c r="I62" s="50" t="s">
        <v>87</v>
      </c>
      <c r="J62" s="25">
        <v>20231947</v>
      </c>
      <c r="K62" s="17" t="s">
        <v>12</v>
      </c>
      <c r="L62" s="50" t="s">
        <v>84</v>
      </c>
      <c r="M62" s="17" t="s">
        <v>21</v>
      </c>
      <c r="N62" s="24" t="s">
        <v>457</v>
      </c>
      <c r="O62" s="24" t="s">
        <v>458</v>
      </c>
      <c r="P62" s="22">
        <v>0</v>
      </c>
      <c r="Q62" s="25" t="s">
        <v>459</v>
      </c>
      <c r="R62" s="17" t="s">
        <v>73</v>
      </c>
      <c r="S62" s="23" t="s">
        <v>84</v>
      </c>
      <c r="T62" s="60" t="s">
        <v>84</v>
      </c>
      <c r="U62" s="20">
        <v>45629</v>
      </c>
    </row>
    <row r="63" spans="1:21" ht="144.94999999999999">
      <c r="A63" s="68" t="s">
        <v>460</v>
      </c>
      <c r="B63" s="17" t="s">
        <v>75</v>
      </c>
      <c r="C63" s="50" t="s">
        <v>84</v>
      </c>
      <c r="D63" s="96">
        <v>45503</v>
      </c>
      <c r="E63" s="54" t="s">
        <v>104</v>
      </c>
      <c r="F63" s="71" t="s">
        <v>71</v>
      </c>
      <c r="G63" s="17" t="s">
        <v>70</v>
      </c>
      <c r="H63" s="50" t="s">
        <v>94</v>
      </c>
      <c r="I63" s="50" t="s">
        <v>216</v>
      </c>
      <c r="J63" s="50" t="s">
        <v>461</v>
      </c>
      <c r="K63" s="17" t="s">
        <v>10</v>
      </c>
      <c r="L63" s="50" t="s">
        <v>84</v>
      </c>
      <c r="M63" s="17" t="s">
        <v>15</v>
      </c>
      <c r="N63" s="24" t="s">
        <v>462</v>
      </c>
      <c r="O63" s="24" t="s">
        <v>463</v>
      </c>
      <c r="P63" s="22">
        <v>0</v>
      </c>
      <c r="Q63" s="25" t="s">
        <v>464</v>
      </c>
      <c r="R63" s="17" t="s">
        <v>73</v>
      </c>
      <c r="S63" s="23" t="s">
        <v>84</v>
      </c>
      <c r="T63" s="60" t="s">
        <v>84</v>
      </c>
      <c r="U63" s="20">
        <v>45540</v>
      </c>
    </row>
    <row r="64" spans="1:21" ht="43.5" hidden="1">
      <c r="A64" s="68" t="s">
        <v>465</v>
      </c>
      <c r="B64" s="17" t="s">
        <v>69</v>
      </c>
      <c r="C64" s="50" t="s">
        <v>84</v>
      </c>
      <c r="D64" s="49">
        <v>45478</v>
      </c>
      <c r="E64" s="54" t="s">
        <v>127</v>
      </c>
      <c r="F64" s="71" t="s">
        <v>71</v>
      </c>
      <c r="G64" s="17" t="s">
        <v>70</v>
      </c>
      <c r="H64" s="50" t="s">
        <v>466</v>
      </c>
      <c r="I64" s="50" t="s">
        <v>467</v>
      </c>
      <c r="J64" s="25">
        <v>20222606</v>
      </c>
      <c r="K64" s="17" t="s">
        <v>9</v>
      </c>
      <c r="L64" s="50" t="s">
        <v>84</v>
      </c>
      <c r="M64" s="17" t="s">
        <v>14</v>
      </c>
      <c r="N64" s="24" t="s">
        <v>468</v>
      </c>
      <c r="O64" s="24" t="s">
        <v>469</v>
      </c>
      <c r="P64" s="26" t="s">
        <v>133</v>
      </c>
      <c r="Q64" s="25" t="s">
        <v>470</v>
      </c>
      <c r="R64" s="17" t="s">
        <v>73</v>
      </c>
      <c r="S64" s="23" t="s">
        <v>84</v>
      </c>
      <c r="T64" s="60" t="s">
        <v>84</v>
      </c>
      <c r="U64" s="20">
        <v>45478</v>
      </c>
    </row>
    <row r="65" spans="1:21" ht="43.5" hidden="1">
      <c r="A65" s="68" t="s">
        <v>471</v>
      </c>
      <c r="B65" s="17" t="s">
        <v>69</v>
      </c>
      <c r="C65" s="50" t="s">
        <v>84</v>
      </c>
      <c r="D65" s="49">
        <v>45492</v>
      </c>
      <c r="E65" s="54" t="s">
        <v>127</v>
      </c>
      <c r="F65" s="71" t="s">
        <v>71</v>
      </c>
      <c r="G65" s="17" t="s">
        <v>70</v>
      </c>
      <c r="H65" s="50" t="s">
        <v>128</v>
      </c>
      <c r="I65" s="50" t="s">
        <v>472</v>
      </c>
      <c r="J65" s="25" t="s">
        <v>473</v>
      </c>
      <c r="K65" s="17" t="s">
        <v>10</v>
      </c>
      <c r="L65" s="50" t="s">
        <v>84</v>
      </c>
      <c r="M65" s="17" t="s">
        <v>21</v>
      </c>
      <c r="N65" s="24" t="s">
        <v>474</v>
      </c>
      <c r="O65" s="21" t="s">
        <v>475</v>
      </c>
      <c r="P65" s="26" t="s">
        <v>133</v>
      </c>
      <c r="Q65" s="25" t="s">
        <v>476</v>
      </c>
      <c r="R65" s="17" t="s">
        <v>73</v>
      </c>
      <c r="S65" s="23" t="s">
        <v>84</v>
      </c>
      <c r="T65" s="60" t="s">
        <v>84</v>
      </c>
      <c r="U65" s="20">
        <v>45492</v>
      </c>
    </row>
    <row r="66" spans="1:21" ht="29.1" hidden="1">
      <c r="A66" s="68" t="s">
        <v>477</v>
      </c>
      <c r="B66" s="17" t="s">
        <v>69</v>
      </c>
      <c r="C66" s="50" t="s">
        <v>84</v>
      </c>
      <c r="D66" s="49">
        <v>45495</v>
      </c>
      <c r="E66" s="54" t="s">
        <v>127</v>
      </c>
      <c r="F66" s="71" t="s">
        <v>71</v>
      </c>
      <c r="G66" s="17" t="s">
        <v>70</v>
      </c>
      <c r="H66" s="50" t="s">
        <v>478</v>
      </c>
      <c r="I66" s="50" t="s">
        <v>479</v>
      </c>
      <c r="J66" s="25">
        <v>20232572</v>
      </c>
      <c r="K66" s="17" t="s">
        <v>9</v>
      </c>
      <c r="L66" s="50" t="s">
        <v>84</v>
      </c>
      <c r="M66" s="17" t="s">
        <v>14</v>
      </c>
      <c r="N66" s="24" t="s">
        <v>480</v>
      </c>
      <c r="O66" s="24" t="s">
        <v>481</v>
      </c>
      <c r="P66" s="22">
        <v>240</v>
      </c>
      <c r="Q66" s="25" t="s">
        <v>482</v>
      </c>
      <c r="R66" s="17" t="s">
        <v>73</v>
      </c>
      <c r="S66" s="23" t="s">
        <v>84</v>
      </c>
      <c r="T66" s="60" t="s">
        <v>84</v>
      </c>
      <c r="U66" s="20">
        <v>45495</v>
      </c>
    </row>
    <row r="67" spans="1:21" ht="43.5" hidden="1">
      <c r="A67" s="68" t="s">
        <v>483</v>
      </c>
      <c r="B67" s="17" t="s">
        <v>72</v>
      </c>
      <c r="C67" s="50" t="s">
        <v>84</v>
      </c>
      <c r="D67" s="49">
        <v>45491</v>
      </c>
      <c r="E67" s="54" t="s">
        <v>127</v>
      </c>
      <c r="F67" s="71" t="s">
        <v>71</v>
      </c>
      <c r="G67" s="17" t="s">
        <v>70</v>
      </c>
      <c r="H67" s="50" t="s">
        <v>128</v>
      </c>
      <c r="I67" s="50" t="s">
        <v>467</v>
      </c>
      <c r="J67" s="25">
        <v>20222606</v>
      </c>
      <c r="K67" s="17" t="s">
        <v>8</v>
      </c>
      <c r="L67" s="50" t="s">
        <v>84</v>
      </c>
      <c r="M67" s="17" t="s">
        <v>16</v>
      </c>
      <c r="N67" s="24" t="s">
        <v>484</v>
      </c>
      <c r="O67" s="24" t="s">
        <v>485</v>
      </c>
      <c r="P67" s="118" t="s">
        <v>486</v>
      </c>
      <c r="Q67" s="25" t="s">
        <v>487</v>
      </c>
      <c r="R67" s="17" t="s">
        <v>73</v>
      </c>
      <c r="S67" s="23" t="s">
        <v>84</v>
      </c>
      <c r="T67" s="60" t="s">
        <v>84</v>
      </c>
      <c r="U67" s="20">
        <v>45498</v>
      </c>
    </row>
    <row r="68" spans="1:21" ht="29.1" hidden="1">
      <c r="A68" s="68" t="s">
        <v>488</v>
      </c>
      <c r="B68" s="17" t="s">
        <v>69</v>
      </c>
      <c r="C68" s="50" t="s">
        <v>84</v>
      </c>
      <c r="D68" s="49">
        <v>45495</v>
      </c>
      <c r="E68" s="54" t="s">
        <v>127</v>
      </c>
      <c r="F68" s="71" t="s">
        <v>71</v>
      </c>
      <c r="G68" s="17" t="s">
        <v>70</v>
      </c>
      <c r="H68" s="50" t="s">
        <v>128</v>
      </c>
      <c r="I68" s="50" t="s">
        <v>489</v>
      </c>
      <c r="J68" s="25">
        <v>20240298</v>
      </c>
      <c r="K68" s="17" t="s">
        <v>10</v>
      </c>
      <c r="L68" s="50" t="s">
        <v>84</v>
      </c>
      <c r="M68" s="17" t="s">
        <v>20</v>
      </c>
      <c r="N68" s="24" t="s">
        <v>490</v>
      </c>
      <c r="O68" s="24" t="s">
        <v>491</v>
      </c>
      <c r="P68" s="118" t="s">
        <v>486</v>
      </c>
      <c r="Q68" s="25" t="s">
        <v>492</v>
      </c>
      <c r="R68" s="17" t="s">
        <v>73</v>
      </c>
      <c r="S68" s="23" t="s">
        <v>84</v>
      </c>
      <c r="T68" s="60" t="s">
        <v>84</v>
      </c>
      <c r="U68" s="20">
        <v>45545</v>
      </c>
    </row>
    <row r="69" spans="1:21" ht="29.1" hidden="1">
      <c r="A69" s="68" t="s">
        <v>493</v>
      </c>
      <c r="B69" s="17" t="s">
        <v>69</v>
      </c>
      <c r="C69" s="50" t="s">
        <v>84</v>
      </c>
      <c r="D69" s="49">
        <v>45495</v>
      </c>
      <c r="E69" s="54" t="s">
        <v>127</v>
      </c>
      <c r="F69" s="71" t="s">
        <v>71</v>
      </c>
      <c r="G69" s="17" t="s">
        <v>70</v>
      </c>
      <c r="H69" s="50" t="s">
        <v>128</v>
      </c>
      <c r="I69" s="50" t="s">
        <v>489</v>
      </c>
      <c r="J69" s="25">
        <v>20240486</v>
      </c>
      <c r="K69" s="17" t="s">
        <v>10</v>
      </c>
      <c r="L69" s="50" t="s">
        <v>84</v>
      </c>
      <c r="M69" s="17" t="s">
        <v>20</v>
      </c>
      <c r="N69" s="24" t="s">
        <v>494</v>
      </c>
      <c r="O69" s="24" t="s">
        <v>491</v>
      </c>
      <c r="P69" s="118" t="s">
        <v>486</v>
      </c>
      <c r="Q69" s="25" t="s">
        <v>495</v>
      </c>
      <c r="R69" s="17" t="s">
        <v>73</v>
      </c>
      <c r="S69" s="23" t="s">
        <v>84</v>
      </c>
      <c r="T69" s="60" t="s">
        <v>84</v>
      </c>
      <c r="U69" s="20">
        <v>45503</v>
      </c>
    </row>
    <row r="70" spans="1:21" ht="29.1" hidden="1">
      <c r="A70" s="68" t="s">
        <v>496</v>
      </c>
      <c r="B70" s="17" t="s">
        <v>69</v>
      </c>
      <c r="C70" s="50" t="s">
        <v>84</v>
      </c>
      <c r="D70" s="49">
        <v>45503</v>
      </c>
      <c r="E70" s="54" t="s">
        <v>127</v>
      </c>
      <c r="F70" s="71" t="s">
        <v>71</v>
      </c>
      <c r="G70" s="17" t="s">
        <v>70</v>
      </c>
      <c r="H70" s="50" t="s">
        <v>497</v>
      </c>
      <c r="I70" s="50" t="s">
        <v>498</v>
      </c>
      <c r="J70" s="25" t="s">
        <v>499</v>
      </c>
      <c r="K70" s="17" t="s">
        <v>12</v>
      </c>
      <c r="L70" s="50" t="s">
        <v>84</v>
      </c>
      <c r="M70" s="17" t="s">
        <v>17</v>
      </c>
      <c r="N70" s="24" t="s">
        <v>500</v>
      </c>
      <c r="O70" s="24" t="s">
        <v>501</v>
      </c>
      <c r="P70" s="118">
        <v>0</v>
      </c>
      <c r="Q70" s="25" t="s">
        <v>502</v>
      </c>
      <c r="R70" s="25" t="s">
        <v>73</v>
      </c>
      <c r="S70" s="23" t="s">
        <v>84</v>
      </c>
      <c r="T70" s="60" t="s">
        <v>84</v>
      </c>
      <c r="U70" s="20">
        <v>45518</v>
      </c>
    </row>
    <row r="71" spans="1:21" ht="144.94999999999999" hidden="1">
      <c r="A71" s="68" t="s">
        <v>503</v>
      </c>
      <c r="B71" s="17" t="s">
        <v>69</v>
      </c>
      <c r="C71" s="50" t="s">
        <v>84</v>
      </c>
      <c r="D71" s="49">
        <v>45484</v>
      </c>
      <c r="E71" s="54" t="s">
        <v>127</v>
      </c>
      <c r="F71" s="71" t="s">
        <v>71</v>
      </c>
      <c r="G71" s="17" t="s">
        <v>70</v>
      </c>
      <c r="H71" s="50" t="s">
        <v>504</v>
      </c>
      <c r="I71" s="50" t="s">
        <v>216</v>
      </c>
      <c r="J71" s="25">
        <v>20240215</v>
      </c>
      <c r="K71" s="17" t="s">
        <v>8</v>
      </c>
      <c r="L71" s="50" t="s">
        <v>84</v>
      </c>
      <c r="M71" s="17" t="s">
        <v>20</v>
      </c>
      <c r="N71" s="24" t="s">
        <v>505</v>
      </c>
      <c r="O71" s="21" t="s">
        <v>506</v>
      </c>
      <c r="P71" s="22"/>
      <c r="Q71" s="119" t="s">
        <v>507</v>
      </c>
      <c r="R71" s="25" t="s">
        <v>73</v>
      </c>
      <c r="S71" s="23" t="s">
        <v>84</v>
      </c>
      <c r="T71" s="60" t="s">
        <v>84</v>
      </c>
      <c r="U71" s="20" t="s">
        <v>306</v>
      </c>
    </row>
    <row r="72" spans="1:21" ht="29.1" hidden="1">
      <c r="A72" s="68" t="s">
        <v>508</v>
      </c>
      <c r="B72" s="17" t="s">
        <v>69</v>
      </c>
      <c r="C72" s="50" t="s">
        <v>84</v>
      </c>
      <c r="D72" s="49">
        <v>45491</v>
      </c>
      <c r="E72" s="54" t="s">
        <v>127</v>
      </c>
      <c r="F72" s="71" t="s">
        <v>71</v>
      </c>
      <c r="G72" s="17" t="s">
        <v>70</v>
      </c>
      <c r="H72" s="50" t="s">
        <v>509</v>
      </c>
      <c r="I72" s="50" t="s">
        <v>510</v>
      </c>
      <c r="J72" s="25">
        <v>20240415</v>
      </c>
      <c r="K72" s="17" t="s">
        <v>9</v>
      </c>
      <c r="L72" s="50" t="s">
        <v>84</v>
      </c>
      <c r="M72" s="17" t="s">
        <v>19</v>
      </c>
      <c r="N72" s="24" t="s">
        <v>511</v>
      </c>
      <c r="O72" s="21" t="s">
        <v>512</v>
      </c>
      <c r="P72" s="22">
        <v>1285</v>
      </c>
      <c r="Q72" s="25" t="s">
        <v>513</v>
      </c>
      <c r="R72" s="25" t="s">
        <v>73</v>
      </c>
      <c r="S72" s="23" t="s">
        <v>84</v>
      </c>
      <c r="T72" s="60" t="s">
        <v>84</v>
      </c>
      <c r="U72" s="20">
        <v>45490</v>
      </c>
    </row>
    <row r="73" spans="1:21" ht="57.95" hidden="1">
      <c r="A73" s="68" t="s">
        <v>514</v>
      </c>
      <c r="B73" s="17" t="s">
        <v>69</v>
      </c>
      <c r="C73" s="50" t="s">
        <v>84</v>
      </c>
      <c r="D73" s="49">
        <v>45505</v>
      </c>
      <c r="E73" s="54" t="s">
        <v>127</v>
      </c>
      <c r="F73" s="71" t="s">
        <v>71</v>
      </c>
      <c r="G73" s="17" t="s">
        <v>70</v>
      </c>
      <c r="H73" s="50" t="s">
        <v>515</v>
      </c>
      <c r="I73" s="50" t="s">
        <v>516</v>
      </c>
      <c r="J73" s="25">
        <v>20240215</v>
      </c>
      <c r="K73" s="17" t="s">
        <v>10</v>
      </c>
      <c r="L73" s="50" t="s">
        <v>84</v>
      </c>
      <c r="M73" s="17" t="s">
        <v>14</v>
      </c>
      <c r="N73" s="24" t="s">
        <v>517</v>
      </c>
      <c r="O73" s="21" t="s">
        <v>518</v>
      </c>
      <c r="P73" s="22" t="s">
        <v>519</v>
      </c>
      <c r="Q73" s="25" t="s">
        <v>520</v>
      </c>
      <c r="R73" s="25" t="s">
        <v>73</v>
      </c>
      <c r="S73" s="23" t="s">
        <v>84</v>
      </c>
      <c r="T73" s="60" t="s">
        <v>84</v>
      </c>
      <c r="U73" s="20" t="s">
        <v>306</v>
      </c>
    </row>
    <row r="74" spans="1:21" ht="29.1" hidden="1">
      <c r="A74" s="68" t="s">
        <v>521</v>
      </c>
      <c r="B74" s="17" t="s">
        <v>69</v>
      </c>
      <c r="C74" s="50" t="s">
        <v>84</v>
      </c>
      <c r="D74" s="49">
        <v>45505</v>
      </c>
      <c r="E74" s="54" t="s">
        <v>127</v>
      </c>
      <c r="F74" s="71" t="s">
        <v>71</v>
      </c>
      <c r="G74" s="17" t="s">
        <v>70</v>
      </c>
      <c r="H74" s="50" t="s">
        <v>128</v>
      </c>
      <c r="I74" s="50" t="s">
        <v>522</v>
      </c>
      <c r="J74" s="25">
        <v>20240603</v>
      </c>
      <c r="K74" s="17" t="s">
        <v>10</v>
      </c>
      <c r="L74" s="50" t="s">
        <v>84</v>
      </c>
      <c r="M74" s="17" t="s">
        <v>14</v>
      </c>
      <c r="N74" s="24" t="s">
        <v>517</v>
      </c>
      <c r="O74" s="21" t="s">
        <v>518</v>
      </c>
      <c r="P74" s="22" t="s">
        <v>519</v>
      </c>
      <c r="Q74" s="25" t="s">
        <v>523</v>
      </c>
      <c r="R74" s="25" t="s">
        <v>73</v>
      </c>
      <c r="S74" s="23" t="s">
        <v>84</v>
      </c>
      <c r="T74" s="60" t="s">
        <v>84</v>
      </c>
      <c r="U74" s="20">
        <v>45548</v>
      </c>
    </row>
    <row r="75" spans="1:21" ht="87" hidden="1">
      <c r="A75" s="68" t="s">
        <v>524</v>
      </c>
      <c r="B75" s="17" t="s">
        <v>69</v>
      </c>
      <c r="C75" s="50" t="s">
        <v>84</v>
      </c>
      <c r="D75" s="49">
        <v>45505</v>
      </c>
      <c r="E75" s="54" t="s">
        <v>127</v>
      </c>
      <c r="F75" s="71" t="s">
        <v>71</v>
      </c>
      <c r="G75" s="17" t="s">
        <v>70</v>
      </c>
      <c r="H75" s="50" t="s">
        <v>128</v>
      </c>
      <c r="I75" s="50" t="s">
        <v>525</v>
      </c>
      <c r="J75" s="25">
        <v>20240486</v>
      </c>
      <c r="K75" s="17" t="s">
        <v>10</v>
      </c>
      <c r="L75" s="50" t="s">
        <v>84</v>
      </c>
      <c r="M75" s="17" t="s">
        <v>14</v>
      </c>
      <c r="N75" s="24" t="s">
        <v>526</v>
      </c>
      <c r="O75" s="21" t="s">
        <v>518</v>
      </c>
      <c r="P75" s="22" t="s">
        <v>519</v>
      </c>
      <c r="Q75" s="25" t="s">
        <v>527</v>
      </c>
      <c r="R75" s="25" t="s">
        <v>73</v>
      </c>
      <c r="S75" s="23" t="s">
        <v>84</v>
      </c>
      <c r="T75" s="60" t="s">
        <v>84</v>
      </c>
      <c r="U75" s="20" t="s">
        <v>306</v>
      </c>
    </row>
    <row r="76" spans="1:21" ht="72.599999999999994" hidden="1">
      <c r="A76" s="68" t="s">
        <v>528</v>
      </c>
      <c r="B76" s="17" t="s">
        <v>69</v>
      </c>
      <c r="C76" s="50" t="s">
        <v>84</v>
      </c>
      <c r="D76" s="49">
        <v>45505</v>
      </c>
      <c r="E76" s="54" t="s">
        <v>127</v>
      </c>
      <c r="F76" s="71" t="s">
        <v>71</v>
      </c>
      <c r="G76" s="17" t="s">
        <v>70</v>
      </c>
      <c r="H76" s="50" t="s">
        <v>128</v>
      </c>
      <c r="I76" s="50" t="s">
        <v>529</v>
      </c>
      <c r="J76" s="25">
        <v>20240445</v>
      </c>
      <c r="K76" s="17" t="s">
        <v>10</v>
      </c>
      <c r="L76" s="50" t="s">
        <v>84</v>
      </c>
      <c r="M76" s="17" t="s">
        <v>14</v>
      </c>
      <c r="N76" s="24" t="s">
        <v>530</v>
      </c>
      <c r="O76" s="21" t="s">
        <v>518</v>
      </c>
      <c r="P76" s="22" t="s">
        <v>519</v>
      </c>
      <c r="Q76" s="25" t="s">
        <v>531</v>
      </c>
      <c r="R76" s="25" t="s">
        <v>73</v>
      </c>
      <c r="S76" s="23" t="s">
        <v>84</v>
      </c>
      <c r="T76" s="60" t="s">
        <v>84</v>
      </c>
      <c r="U76" s="20" t="s">
        <v>306</v>
      </c>
    </row>
    <row r="77" spans="1:21" ht="29.1" hidden="1">
      <c r="A77" s="68" t="s">
        <v>532</v>
      </c>
      <c r="B77" s="17" t="s">
        <v>69</v>
      </c>
      <c r="C77" s="50" t="s">
        <v>84</v>
      </c>
      <c r="D77" s="49">
        <v>45505</v>
      </c>
      <c r="E77" s="54" t="s">
        <v>127</v>
      </c>
      <c r="F77" s="71" t="s">
        <v>71</v>
      </c>
      <c r="G77" s="17" t="s">
        <v>70</v>
      </c>
      <c r="H77" s="50" t="s">
        <v>128</v>
      </c>
      <c r="I77" s="50" t="s">
        <v>529</v>
      </c>
      <c r="J77" s="25">
        <v>20240994</v>
      </c>
      <c r="K77" s="17" t="s">
        <v>10</v>
      </c>
      <c r="L77" s="50" t="s">
        <v>84</v>
      </c>
      <c r="M77" s="17" t="s">
        <v>14</v>
      </c>
      <c r="N77" s="24" t="s">
        <v>530</v>
      </c>
      <c r="O77" s="21" t="s">
        <v>518</v>
      </c>
      <c r="P77" s="22" t="s">
        <v>519</v>
      </c>
      <c r="Q77" s="25" t="s">
        <v>523</v>
      </c>
      <c r="R77" s="17" t="s">
        <v>73</v>
      </c>
      <c r="S77" s="23" t="s">
        <v>73</v>
      </c>
      <c r="T77" s="60" t="s">
        <v>84</v>
      </c>
      <c r="U77" s="20">
        <v>45532</v>
      </c>
    </row>
    <row r="78" spans="1:21" ht="43.5" hidden="1">
      <c r="A78" s="68" t="s">
        <v>533</v>
      </c>
      <c r="B78" s="17" t="s">
        <v>69</v>
      </c>
      <c r="C78" s="50" t="s">
        <v>84</v>
      </c>
      <c r="D78" s="49">
        <v>45477</v>
      </c>
      <c r="E78" s="54" t="s">
        <v>127</v>
      </c>
      <c r="F78" s="71" t="s">
        <v>71</v>
      </c>
      <c r="G78" s="17" t="s">
        <v>70</v>
      </c>
      <c r="H78" s="50" t="s">
        <v>128</v>
      </c>
      <c r="I78" s="50" t="s">
        <v>534</v>
      </c>
      <c r="J78" s="25">
        <v>20232993</v>
      </c>
      <c r="K78" s="17" t="s">
        <v>11</v>
      </c>
      <c r="L78" s="50" t="s">
        <v>84</v>
      </c>
      <c r="M78" s="17" t="s">
        <v>16</v>
      </c>
      <c r="N78" s="24" t="s">
        <v>535</v>
      </c>
      <c r="O78" s="21" t="s">
        <v>536</v>
      </c>
      <c r="P78" s="22" t="s">
        <v>519</v>
      </c>
      <c r="Q78" s="25" t="s">
        <v>537</v>
      </c>
      <c r="R78" s="17" t="s">
        <v>73</v>
      </c>
      <c r="S78" s="23" t="s">
        <v>73</v>
      </c>
      <c r="T78" s="60" t="s">
        <v>84</v>
      </c>
      <c r="U78" s="20">
        <v>45559</v>
      </c>
    </row>
    <row r="79" spans="1:21" ht="72.599999999999994" hidden="1">
      <c r="A79" s="68" t="s">
        <v>538</v>
      </c>
      <c r="B79" s="17" t="s">
        <v>72</v>
      </c>
      <c r="C79" s="50" t="s">
        <v>84</v>
      </c>
      <c r="D79" s="49">
        <v>45513</v>
      </c>
      <c r="E79" s="54" t="s">
        <v>127</v>
      </c>
      <c r="F79" s="71" t="s">
        <v>71</v>
      </c>
      <c r="G79" s="17" t="s">
        <v>70</v>
      </c>
      <c r="H79" s="50" t="s">
        <v>128</v>
      </c>
      <c r="I79" s="50" t="s">
        <v>479</v>
      </c>
      <c r="J79" s="25">
        <v>20232572</v>
      </c>
      <c r="K79" s="17" t="s">
        <v>11</v>
      </c>
      <c r="L79" s="50" t="s">
        <v>84</v>
      </c>
      <c r="M79" s="17" t="s">
        <v>16</v>
      </c>
      <c r="N79" s="24" t="s">
        <v>539</v>
      </c>
      <c r="O79" s="21" t="s">
        <v>536</v>
      </c>
      <c r="P79" s="22">
        <v>9555.43</v>
      </c>
      <c r="Q79" s="25" t="s">
        <v>540</v>
      </c>
      <c r="R79" s="17" t="s">
        <v>73</v>
      </c>
      <c r="S79" s="23" t="s">
        <v>73</v>
      </c>
      <c r="T79" s="60" t="s">
        <v>84</v>
      </c>
      <c r="U79" s="20">
        <v>45539</v>
      </c>
    </row>
    <row r="80" spans="1:21" ht="87" hidden="1">
      <c r="A80" s="68" t="s">
        <v>541</v>
      </c>
      <c r="B80" s="17" t="s">
        <v>69</v>
      </c>
      <c r="C80" s="50" t="s">
        <v>84</v>
      </c>
      <c r="D80" s="49">
        <v>45517</v>
      </c>
      <c r="E80" s="54" t="s">
        <v>127</v>
      </c>
      <c r="F80" s="71" t="s">
        <v>71</v>
      </c>
      <c r="G80" s="17" t="s">
        <v>70</v>
      </c>
      <c r="H80" s="50" t="s">
        <v>128</v>
      </c>
      <c r="I80" s="50" t="s">
        <v>525</v>
      </c>
      <c r="J80" s="25">
        <v>20230486</v>
      </c>
      <c r="K80" s="17" t="s">
        <v>11</v>
      </c>
      <c r="L80" s="50" t="s">
        <v>84</v>
      </c>
      <c r="M80" s="17" t="s">
        <v>16</v>
      </c>
      <c r="N80" s="24" t="s">
        <v>542</v>
      </c>
      <c r="O80" s="21" t="s">
        <v>543</v>
      </c>
      <c r="P80" s="99" t="s">
        <v>519</v>
      </c>
      <c r="Q80" s="25" t="s">
        <v>544</v>
      </c>
      <c r="R80" s="100" t="s">
        <v>73</v>
      </c>
      <c r="S80" s="23" t="s">
        <v>73</v>
      </c>
      <c r="T80" s="60" t="s">
        <v>84</v>
      </c>
      <c r="U80" s="20">
        <v>45546</v>
      </c>
    </row>
    <row r="81" spans="1:21" ht="29.1" hidden="1">
      <c r="A81" s="68" t="s">
        <v>545</v>
      </c>
      <c r="B81" s="17" t="s">
        <v>69</v>
      </c>
      <c r="C81" s="50" t="s">
        <v>84</v>
      </c>
      <c r="D81" s="49">
        <v>45513</v>
      </c>
      <c r="E81" s="54" t="s">
        <v>546</v>
      </c>
      <c r="F81" s="71" t="s">
        <v>71</v>
      </c>
      <c r="G81" s="17" t="s">
        <v>70</v>
      </c>
      <c r="H81" s="50" t="s">
        <v>290</v>
      </c>
      <c r="I81" s="50" t="s">
        <v>547</v>
      </c>
      <c r="J81" s="25">
        <v>20241277</v>
      </c>
      <c r="K81" s="17" t="s">
        <v>10</v>
      </c>
      <c r="L81" s="50" t="s">
        <v>84</v>
      </c>
      <c r="M81" s="17" t="s">
        <v>21</v>
      </c>
      <c r="N81" s="24" t="s">
        <v>548</v>
      </c>
      <c r="O81" s="24" t="s">
        <v>549</v>
      </c>
      <c r="P81" s="120" t="s">
        <v>550</v>
      </c>
      <c r="Q81" s="24" t="s">
        <v>551</v>
      </c>
      <c r="R81" s="17" t="s">
        <v>73</v>
      </c>
      <c r="S81" s="23" t="s">
        <v>84</v>
      </c>
      <c r="T81" s="60" t="s">
        <v>84</v>
      </c>
      <c r="U81" s="20">
        <v>45523</v>
      </c>
    </row>
    <row r="82" spans="1:21" ht="43.5" hidden="1">
      <c r="A82" s="68" t="s">
        <v>552</v>
      </c>
      <c r="B82" s="17" t="s">
        <v>69</v>
      </c>
      <c r="C82" s="50" t="s">
        <v>84</v>
      </c>
      <c r="D82" s="49">
        <v>45506</v>
      </c>
      <c r="E82" s="54" t="s">
        <v>546</v>
      </c>
      <c r="F82" s="71" t="s">
        <v>71</v>
      </c>
      <c r="G82" s="17" t="s">
        <v>70</v>
      </c>
      <c r="H82" s="50" t="s">
        <v>553</v>
      </c>
      <c r="I82" s="50" t="s">
        <v>554</v>
      </c>
      <c r="J82" s="25">
        <v>20241164</v>
      </c>
      <c r="K82" s="17" t="s">
        <v>11</v>
      </c>
      <c r="L82" s="50" t="s">
        <v>84</v>
      </c>
      <c r="M82" s="17" t="s">
        <v>19</v>
      </c>
      <c r="N82" s="24" t="s">
        <v>555</v>
      </c>
      <c r="O82" s="24" t="s">
        <v>556</v>
      </c>
      <c r="P82" s="22" t="s">
        <v>519</v>
      </c>
      <c r="Q82" s="24" t="s">
        <v>557</v>
      </c>
      <c r="R82" s="17" t="s">
        <v>73</v>
      </c>
      <c r="S82" s="23" t="s">
        <v>84</v>
      </c>
      <c r="T82" s="60" t="s">
        <v>84</v>
      </c>
      <c r="U82" s="20">
        <v>45531</v>
      </c>
    </row>
    <row r="83" spans="1:21" ht="57.95" hidden="1">
      <c r="A83" s="68" t="s">
        <v>558</v>
      </c>
      <c r="B83" s="17" t="s">
        <v>69</v>
      </c>
      <c r="C83" s="50" t="s">
        <v>84</v>
      </c>
      <c r="D83" s="49">
        <v>45518</v>
      </c>
      <c r="E83" s="54" t="s">
        <v>546</v>
      </c>
      <c r="F83" s="71" t="s">
        <v>71</v>
      </c>
      <c r="G83" s="17" t="s">
        <v>70</v>
      </c>
      <c r="H83" s="50" t="s">
        <v>559</v>
      </c>
      <c r="I83" s="50" t="s">
        <v>560</v>
      </c>
      <c r="J83" s="25">
        <v>20241701</v>
      </c>
      <c r="K83" s="17" t="s">
        <v>9</v>
      </c>
      <c r="L83" s="50" t="s">
        <v>84</v>
      </c>
      <c r="M83" s="17" t="s">
        <v>14</v>
      </c>
      <c r="N83" s="24" t="s">
        <v>561</v>
      </c>
      <c r="O83" s="24" t="s">
        <v>562</v>
      </c>
      <c r="P83" s="22" t="s">
        <v>519</v>
      </c>
      <c r="Q83" s="24" t="s">
        <v>563</v>
      </c>
      <c r="R83" s="17" t="s">
        <v>73</v>
      </c>
      <c r="S83" s="23" t="s">
        <v>84</v>
      </c>
      <c r="T83" s="60" t="s">
        <v>84</v>
      </c>
      <c r="U83" s="20">
        <v>45525</v>
      </c>
    </row>
    <row r="84" spans="1:21" ht="144.94999999999999" hidden="1">
      <c r="A84" s="68" t="s">
        <v>564</v>
      </c>
      <c r="B84" s="17" t="s">
        <v>72</v>
      </c>
      <c r="C84" s="50" t="s">
        <v>84</v>
      </c>
      <c r="D84" s="121">
        <v>45483</v>
      </c>
      <c r="E84" s="54" t="s">
        <v>370</v>
      </c>
      <c r="F84" s="71" t="s">
        <v>71</v>
      </c>
      <c r="G84" s="17" t="s">
        <v>73</v>
      </c>
      <c r="H84" s="50" t="s">
        <v>565</v>
      </c>
      <c r="I84" s="50" t="s">
        <v>272</v>
      </c>
      <c r="J84" s="25">
        <v>20222414</v>
      </c>
      <c r="K84" s="17" t="s">
        <v>10</v>
      </c>
      <c r="L84" s="50" t="s">
        <v>84</v>
      </c>
      <c r="M84" s="17" t="s">
        <v>19</v>
      </c>
      <c r="N84" s="24" t="s">
        <v>566</v>
      </c>
      <c r="O84" s="24" t="s">
        <v>567</v>
      </c>
      <c r="P84" s="22" t="s">
        <v>84</v>
      </c>
      <c r="Q84" s="25" t="s">
        <v>84</v>
      </c>
      <c r="R84" s="17" t="s">
        <v>70</v>
      </c>
      <c r="S84" s="102" t="s">
        <v>568</v>
      </c>
      <c r="T84" s="67" t="s">
        <v>568</v>
      </c>
      <c r="U84" s="20">
        <v>45525</v>
      </c>
    </row>
    <row r="85" spans="1:21" ht="87" hidden="1">
      <c r="A85" s="68" t="s">
        <v>569</v>
      </c>
      <c r="B85" s="17" t="s">
        <v>69</v>
      </c>
      <c r="C85" s="50" t="s">
        <v>84</v>
      </c>
      <c r="D85" s="49">
        <v>45517</v>
      </c>
      <c r="E85" s="54" t="s">
        <v>205</v>
      </c>
      <c r="F85" s="71" t="s">
        <v>71</v>
      </c>
      <c r="G85" s="17" t="s">
        <v>70</v>
      </c>
      <c r="H85" s="50" t="s">
        <v>128</v>
      </c>
      <c r="I85" s="50" t="s">
        <v>570</v>
      </c>
      <c r="J85" s="25">
        <v>20240176</v>
      </c>
      <c r="K85" s="17" t="s">
        <v>11</v>
      </c>
      <c r="L85" s="50" t="s">
        <v>84</v>
      </c>
      <c r="M85" s="17" t="s">
        <v>16</v>
      </c>
      <c r="N85" s="24" t="s">
        <v>571</v>
      </c>
      <c r="O85" s="25" t="s">
        <v>572</v>
      </c>
      <c r="P85" s="22" t="s">
        <v>519</v>
      </c>
      <c r="Q85" s="25" t="s">
        <v>573</v>
      </c>
      <c r="R85" s="17" t="s">
        <v>73</v>
      </c>
      <c r="S85" s="23" t="s">
        <v>276</v>
      </c>
      <c r="T85" s="60" t="s">
        <v>73</v>
      </c>
      <c r="U85" s="20">
        <v>45532</v>
      </c>
    </row>
    <row r="86" spans="1:21" ht="57.95" hidden="1">
      <c r="A86" s="68" t="s">
        <v>574</v>
      </c>
      <c r="B86" s="17" t="s">
        <v>72</v>
      </c>
      <c r="C86" s="50" t="s">
        <v>84</v>
      </c>
      <c r="D86" s="49">
        <v>45520</v>
      </c>
      <c r="E86" s="54" t="s">
        <v>205</v>
      </c>
      <c r="F86" s="71" t="s">
        <v>71</v>
      </c>
      <c r="G86" s="17" t="s">
        <v>70</v>
      </c>
      <c r="H86" s="50" t="s">
        <v>575</v>
      </c>
      <c r="I86" s="50" t="s">
        <v>576</v>
      </c>
      <c r="J86" s="25" t="s">
        <v>577</v>
      </c>
      <c r="K86" s="17" t="s">
        <v>10</v>
      </c>
      <c r="L86" s="50" t="s">
        <v>84</v>
      </c>
      <c r="M86" s="17" t="s">
        <v>19</v>
      </c>
      <c r="N86" s="24" t="s">
        <v>578</v>
      </c>
      <c r="O86" s="24" t="s">
        <v>579</v>
      </c>
      <c r="P86" s="22" t="s">
        <v>519</v>
      </c>
      <c r="Q86" s="25" t="s">
        <v>580</v>
      </c>
      <c r="R86" s="17" t="s">
        <v>73</v>
      </c>
      <c r="S86" s="23" t="s">
        <v>276</v>
      </c>
      <c r="T86" s="60" t="s">
        <v>73</v>
      </c>
      <c r="U86" s="20">
        <v>45532</v>
      </c>
    </row>
    <row r="87" spans="1:21" ht="43.5" hidden="1">
      <c r="A87" s="68" t="s">
        <v>581</v>
      </c>
      <c r="B87" s="17" t="s">
        <v>69</v>
      </c>
      <c r="C87" s="50" t="s">
        <v>84</v>
      </c>
      <c r="D87" s="49">
        <v>45509</v>
      </c>
      <c r="E87" s="54" t="s">
        <v>546</v>
      </c>
      <c r="F87" s="71" t="s">
        <v>71</v>
      </c>
      <c r="G87" s="17" t="s">
        <v>70</v>
      </c>
      <c r="H87" s="50" t="s">
        <v>128</v>
      </c>
      <c r="I87" s="50" t="s">
        <v>467</v>
      </c>
      <c r="J87" s="25">
        <v>20241277</v>
      </c>
      <c r="K87" s="17" t="s">
        <v>10</v>
      </c>
      <c r="L87" s="50" t="s">
        <v>84</v>
      </c>
      <c r="M87" s="17" t="s">
        <v>19</v>
      </c>
      <c r="N87" s="24" t="s">
        <v>582</v>
      </c>
      <c r="O87" s="24" t="s">
        <v>583</v>
      </c>
      <c r="P87" s="22" t="s">
        <v>519</v>
      </c>
      <c r="Q87" s="24" t="s">
        <v>584</v>
      </c>
      <c r="R87" s="17" t="s">
        <v>73</v>
      </c>
      <c r="S87" s="23" t="s">
        <v>84</v>
      </c>
      <c r="T87" s="60" t="s">
        <v>84</v>
      </c>
      <c r="U87" s="20">
        <v>45516</v>
      </c>
    </row>
    <row r="88" spans="1:21" ht="29.1" hidden="1">
      <c r="A88" s="68" t="s">
        <v>585</v>
      </c>
      <c r="B88" s="17" t="s">
        <v>69</v>
      </c>
      <c r="C88" s="50" t="s">
        <v>84</v>
      </c>
      <c r="D88" s="49">
        <v>45519</v>
      </c>
      <c r="E88" s="54" t="s">
        <v>546</v>
      </c>
      <c r="F88" s="71" t="s">
        <v>71</v>
      </c>
      <c r="G88" s="17" t="s">
        <v>73</v>
      </c>
      <c r="H88" s="50" t="s">
        <v>350</v>
      </c>
      <c r="I88" s="50" t="s">
        <v>586</v>
      </c>
      <c r="J88" s="25" t="s">
        <v>587</v>
      </c>
      <c r="K88" s="17" t="s">
        <v>10</v>
      </c>
      <c r="L88" s="50" t="s">
        <v>84</v>
      </c>
      <c r="M88" s="17" t="s">
        <v>17</v>
      </c>
      <c r="N88" s="24" t="s">
        <v>588</v>
      </c>
      <c r="O88" s="24" t="s">
        <v>589</v>
      </c>
      <c r="P88" s="22" t="s">
        <v>519</v>
      </c>
      <c r="Q88" s="25" t="s">
        <v>590</v>
      </c>
      <c r="R88" s="17" t="s">
        <v>73</v>
      </c>
      <c r="S88" s="23" t="s">
        <v>84</v>
      </c>
      <c r="T88" s="60" t="s">
        <v>84</v>
      </c>
      <c r="U88" s="20">
        <v>45526</v>
      </c>
    </row>
    <row r="89" spans="1:21" ht="29.1" hidden="1">
      <c r="A89" s="68" t="s">
        <v>591</v>
      </c>
      <c r="B89" s="17" t="s">
        <v>69</v>
      </c>
      <c r="C89" s="50" t="s">
        <v>84</v>
      </c>
      <c r="D89" s="49">
        <v>45511</v>
      </c>
      <c r="E89" s="54" t="s">
        <v>592</v>
      </c>
      <c r="F89" s="71" t="s">
        <v>71</v>
      </c>
      <c r="G89" s="17" t="s">
        <v>73</v>
      </c>
      <c r="H89" s="50" t="s">
        <v>593</v>
      </c>
      <c r="I89" s="50" t="s">
        <v>207</v>
      </c>
      <c r="J89" s="25">
        <v>20240237</v>
      </c>
      <c r="K89" s="17" t="s">
        <v>10</v>
      </c>
      <c r="L89" s="50" t="s">
        <v>84</v>
      </c>
      <c r="M89" s="17" t="s">
        <v>21</v>
      </c>
      <c r="N89" s="24" t="s">
        <v>594</v>
      </c>
      <c r="O89" s="21" t="s">
        <v>595</v>
      </c>
      <c r="P89" s="22">
        <v>0</v>
      </c>
      <c r="Q89" s="25" t="s">
        <v>596</v>
      </c>
      <c r="R89" s="17" t="s">
        <v>73</v>
      </c>
      <c r="S89" s="23" t="s">
        <v>84</v>
      </c>
      <c r="T89" s="60" t="s">
        <v>84</v>
      </c>
      <c r="U89" s="20">
        <v>45533</v>
      </c>
    </row>
    <row r="90" spans="1:21" ht="29.1" hidden="1">
      <c r="A90" s="68" t="s">
        <v>597</v>
      </c>
      <c r="B90" s="17" t="s">
        <v>69</v>
      </c>
      <c r="C90" s="50" t="s">
        <v>84</v>
      </c>
      <c r="D90" s="49">
        <v>45525</v>
      </c>
      <c r="E90" s="54" t="s">
        <v>127</v>
      </c>
      <c r="F90" s="71" t="s">
        <v>71</v>
      </c>
      <c r="G90" s="17" t="s">
        <v>70</v>
      </c>
      <c r="H90" s="50" t="s">
        <v>128</v>
      </c>
      <c r="I90" s="50" t="s">
        <v>216</v>
      </c>
      <c r="J90" s="25">
        <v>20240603</v>
      </c>
      <c r="K90" s="17" t="s">
        <v>10</v>
      </c>
      <c r="L90" s="50" t="s">
        <v>84</v>
      </c>
      <c r="M90" s="17" t="s">
        <v>20</v>
      </c>
      <c r="N90" s="24" t="s">
        <v>598</v>
      </c>
      <c r="O90" s="21" t="s">
        <v>599</v>
      </c>
      <c r="P90" s="99" t="s">
        <v>519</v>
      </c>
      <c r="Q90" s="25" t="s">
        <v>600</v>
      </c>
      <c r="R90" s="100" t="s">
        <v>73</v>
      </c>
      <c r="S90" s="23" t="s">
        <v>73</v>
      </c>
      <c r="T90" s="60" t="s">
        <v>84</v>
      </c>
      <c r="U90" s="20">
        <v>45555</v>
      </c>
    </row>
    <row r="91" spans="1:21" ht="409.5" hidden="1">
      <c r="A91" s="68" t="s">
        <v>601</v>
      </c>
      <c r="B91" s="17" t="s">
        <v>72</v>
      </c>
      <c r="C91" s="50" t="s">
        <v>84</v>
      </c>
      <c r="D91" s="49">
        <v>45544</v>
      </c>
      <c r="E91" s="54" t="s">
        <v>602</v>
      </c>
      <c r="F91" s="71" t="s">
        <v>71</v>
      </c>
      <c r="G91" s="17" t="s">
        <v>70</v>
      </c>
      <c r="H91" s="50" t="s">
        <v>603</v>
      </c>
      <c r="I91" s="50" t="s">
        <v>87</v>
      </c>
      <c r="J91" s="25">
        <v>20241409</v>
      </c>
      <c r="K91" s="17" t="s">
        <v>12</v>
      </c>
      <c r="L91" s="50" t="s">
        <v>84</v>
      </c>
      <c r="M91" s="17" t="s">
        <v>17</v>
      </c>
      <c r="N91" s="24" t="s">
        <v>604</v>
      </c>
      <c r="O91" s="27" t="s">
        <v>605</v>
      </c>
      <c r="P91" s="22">
        <v>17053</v>
      </c>
      <c r="Q91" s="25" t="s">
        <v>99</v>
      </c>
      <c r="R91" s="17" t="s">
        <v>70</v>
      </c>
      <c r="S91" s="102" t="s">
        <v>606</v>
      </c>
      <c r="T91" s="67" t="s">
        <v>607</v>
      </c>
      <c r="U91" s="20">
        <v>45700</v>
      </c>
    </row>
    <row r="92" spans="1:21" ht="87">
      <c r="A92" s="68" t="s">
        <v>608</v>
      </c>
      <c r="B92" s="17" t="s">
        <v>75</v>
      </c>
      <c r="C92" s="50" t="s">
        <v>84</v>
      </c>
      <c r="D92" s="49">
        <v>45492</v>
      </c>
      <c r="E92" s="54" t="s">
        <v>609</v>
      </c>
      <c r="F92" s="71" t="s">
        <v>71</v>
      </c>
      <c r="G92" s="17" t="s">
        <v>73</v>
      </c>
      <c r="H92" s="50" t="s">
        <v>610</v>
      </c>
      <c r="I92" s="50" t="s">
        <v>611</v>
      </c>
      <c r="J92" s="25">
        <v>20222385</v>
      </c>
      <c r="K92" s="17" t="s">
        <v>10</v>
      </c>
      <c r="L92" s="50" t="s">
        <v>84</v>
      </c>
      <c r="M92" s="17" t="s">
        <v>15</v>
      </c>
      <c r="N92" s="24" t="s">
        <v>612</v>
      </c>
      <c r="O92" s="21" t="s">
        <v>613</v>
      </c>
      <c r="P92" s="22" t="s">
        <v>614</v>
      </c>
      <c r="Q92" s="25" t="s">
        <v>615</v>
      </c>
      <c r="R92" s="17" t="s">
        <v>73</v>
      </c>
      <c r="S92" s="23" t="s">
        <v>84</v>
      </c>
      <c r="T92" s="60" t="s">
        <v>84</v>
      </c>
      <c r="U92" s="20">
        <v>45610</v>
      </c>
    </row>
    <row r="93" spans="1:21" ht="101.45" hidden="1">
      <c r="A93" s="25" t="s">
        <v>616</v>
      </c>
      <c r="B93" s="17" t="s">
        <v>72</v>
      </c>
      <c r="C93" s="50" t="s">
        <v>84</v>
      </c>
      <c r="D93" s="49">
        <v>45568</v>
      </c>
      <c r="E93" s="54" t="s">
        <v>617</v>
      </c>
      <c r="F93" s="71" t="s">
        <v>71</v>
      </c>
      <c r="G93" s="17" t="s">
        <v>73</v>
      </c>
      <c r="H93" s="50" t="s">
        <v>618</v>
      </c>
      <c r="I93" s="50" t="s">
        <v>272</v>
      </c>
      <c r="J93" s="25">
        <v>20232967</v>
      </c>
      <c r="K93" s="17" t="s">
        <v>9</v>
      </c>
      <c r="L93" s="50" t="s">
        <v>84</v>
      </c>
      <c r="M93" s="17" t="s">
        <v>19</v>
      </c>
      <c r="N93" s="25" t="s">
        <v>619</v>
      </c>
      <c r="O93" s="25" t="s">
        <v>620</v>
      </c>
      <c r="P93" s="26" t="s">
        <v>621</v>
      </c>
      <c r="Q93" s="25" t="s">
        <v>84</v>
      </c>
      <c r="R93" s="17" t="s">
        <v>70</v>
      </c>
      <c r="S93" s="102" t="s">
        <v>622</v>
      </c>
      <c r="T93" s="67" t="s">
        <v>623</v>
      </c>
      <c r="U93" s="122">
        <v>45580</v>
      </c>
    </row>
    <row r="94" spans="1:21" ht="188.45" hidden="1">
      <c r="A94" s="25" t="s">
        <v>624</v>
      </c>
      <c r="B94" s="17" t="s">
        <v>69</v>
      </c>
      <c r="C94" s="50" t="s">
        <v>84</v>
      </c>
      <c r="D94" s="49">
        <v>45565</v>
      </c>
      <c r="E94" s="54" t="s">
        <v>625</v>
      </c>
      <c r="F94" s="71" t="s">
        <v>71</v>
      </c>
      <c r="G94" s="17" t="s">
        <v>73</v>
      </c>
      <c r="H94" s="50" t="s">
        <v>626</v>
      </c>
      <c r="I94" s="50" t="s">
        <v>138</v>
      </c>
      <c r="J94" s="25">
        <v>20242276</v>
      </c>
      <c r="K94" s="17" t="s">
        <v>9</v>
      </c>
      <c r="L94" s="50" t="s">
        <v>84</v>
      </c>
      <c r="M94" s="17" t="s">
        <v>17</v>
      </c>
      <c r="N94" s="24" t="s">
        <v>627</v>
      </c>
      <c r="O94" s="123" t="s">
        <v>628</v>
      </c>
      <c r="P94" s="22" t="s">
        <v>629</v>
      </c>
      <c r="Q94" s="25" t="s">
        <v>630</v>
      </c>
      <c r="R94" s="17" t="s">
        <v>73</v>
      </c>
      <c r="S94" s="23" t="s">
        <v>84</v>
      </c>
      <c r="T94" s="60" t="s">
        <v>84</v>
      </c>
      <c r="U94" s="20">
        <v>45757</v>
      </c>
    </row>
    <row r="95" spans="1:21" ht="29.1" hidden="1">
      <c r="A95" s="25" t="s">
        <v>631</v>
      </c>
      <c r="B95" s="17" t="s">
        <v>69</v>
      </c>
      <c r="C95" s="50" t="s">
        <v>84</v>
      </c>
      <c r="D95" s="49">
        <v>45585</v>
      </c>
      <c r="E95" s="54" t="s">
        <v>188</v>
      </c>
      <c r="F95" s="71" t="s">
        <v>71</v>
      </c>
      <c r="G95" s="17" t="s">
        <v>70</v>
      </c>
      <c r="H95" s="50" t="s">
        <v>632</v>
      </c>
      <c r="I95" s="50" t="s">
        <v>190</v>
      </c>
      <c r="J95" s="25">
        <v>20240126</v>
      </c>
      <c r="K95" s="17" t="s">
        <v>8</v>
      </c>
      <c r="L95" s="50" t="s">
        <v>84</v>
      </c>
      <c r="M95" s="17" t="s">
        <v>17</v>
      </c>
      <c r="N95" s="24" t="s">
        <v>633</v>
      </c>
      <c r="O95" s="27" t="s">
        <v>634</v>
      </c>
      <c r="P95" s="22">
        <v>0</v>
      </c>
      <c r="Q95" s="25" t="s">
        <v>635</v>
      </c>
      <c r="R95" s="17" t="s">
        <v>73</v>
      </c>
      <c r="S95" s="23" t="s">
        <v>84</v>
      </c>
      <c r="T95" s="60" t="s">
        <v>84</v>
      </c>
      <c r="U95" s="20">
        <v>45589</v>
      </c>
    </row>
    <row r="96" spans="1:21" ht="43.5" hidden="1">
      <c r="A96" s="25" t="s">
        <v>631</v>
      </c>
      <c r="B96" s="17" t="s">
        <v>69</v>
      </c>
      <c r="C96" s="50" t="s">
        <v>84</v>
      </c>
      <c r="D96" s="121">
        <v>45890</v>
      </c>
      <c r="E96" s="50" t="s">
        <v>337</v>
      </c>
      <c r="F96" s="71" t="s">
        <v>71</v>
      </c>
      <c r="G96" s="17" t="s">
        <v>73</v>
      </c>
      <c r="H96" s="50" t="s">
        <v>636</v>
      </c>
      <c r="I96" s="50" t="s">
        <v>87</v>
      </c>
      <c r="J96" s="25" t="s">
        <v>637</v>
      </c>
      <c r="K96" s="17" t="s">
        <v>10</v>
      </c>
      <c r="L96" s="50" t="s">
        <v>84</v>
      </c>
      <c r="M96" s="17" t="s">
        <v>18</v>
      </c>
      <c r="N96" s="24" t="s">
        <v>638</v>
      </c>
      <c r="O96" s="27" t="s">
        <v>639</v>
      </c>
      <c r="P96" s="22">
        <v>0</v>
      </c>
      <c r="Q96" s="25" t="s">
        <v>640</v>
      </c>
      <c r="R96" s="17" t="s">
        <v>73</v>
      </c>
      <c r="S96" s="23" t="s">
        <v>84</v>
      </c>
      <c r="T96" s="60" t="s">
        <v>84</v>
      </c>
      <c r="U96" s="20" t="s">
        <v>641</v>
      </c>
    </row>
    <row r="97" spans="1:21" ht="72.599999999999994" hidden="1">
      <c r="A97" s="25" t="s">
        <v>642</v>
      </c>
      <c r="B97" s="17" t="s">
        <v>69</v>
      </c>
      <c r="C97" s="50" t="s">
        <v>84</v>
      </c>
      <c r="D97" s="49">
        <v>45586</v>
      </c>
      <c r="E97" s="54" t="s">
        <v>337</v>
      </c>
      <c r="F97" s="71" t="s">
        <v>71</v>
      </c>
      <c r="G97" s="17" t="s">
        <v>73</v>
      </c>
      <c r="H97" s="50" t="s">
        <v>636</v>
      </c>
      <c r="I97" s="50" t="s">
        <v>87</v>
      </c>
      <c r="J97" s="25" t="s">
        <v>637</v>
      </c>
      <c r="K97" s="17" t="s">
        <v>10</v>
      </c>
      <c r="L97" s="50" t="s">
        <v>84</v>
      </c>
      <c r="M97" s="17" t="s">
        <v>18</v>
      </c>
      <c r="N97" s="24" t="s">
        <v>643</v>
      </c>
      <c r="O97" s="24" t="s">
        <v>644</v>
      </c>
      <c r="P97" s="22">
        <v>0</v>
      </c>
      <c r="Q97" s="25" t="s">
        <v>645</v>
      </c>
      <c r="R97" s="17" t="s">
        <v>73</v>
      </c>
      <c r="S97" s="23" t="s">
        <v>84</v>
      </c>
      <c r="T97" s="60" t="s">
        <v>84</v>
      </c>
      <c r="U97" s="121" t="s">
        <v>646</v>
      </c>
    </row>
    <row r="98" spans="1:21" ht="130.5" hidden="1">
      <c r="A98" s="25" t="s">
        <v>647</v>
      </c>
      <c r="B98" s="17" t="s">
        <v>69</v>
      </c>
      <c r="C98" s="50" t="s">
        <v>84</v>
      </c>
      <c r="D98" s="49">
        <v>45580</v>
      </c>
      <c r="E98" s="54" t="s">
        <v>546</v>
      </c>
      <c r="F98" s="71" t="s">
        <v>71</v>
      </c>
      <c r="G98" s="17" t="s">
        <v>70</v>
      </c>
      <c r="H98" s="50" t="s">
        <v>648</v>
      </c>
      <c r="I98" s="50" t="s">
        <v>87</v>
      </c>
      <c r="J98" s="25">
        <v>20242134</v>
      </c>
      <c r="K98" s="17" t="s">
        <v>12</v>
      </c>
      <c r="L98" s="50" t="s">
        <v>84</v>
      </c>
      <c r="M98" s="17" t="s">
        <v>17</v>
      </c>
      <c r="N98" s="24" t="s">
        <v>649</v>
      </c>
      <c r="O98" s="24" t="s">
        <v>650</v>
      </c>
      <c r="P98" s="22">
        <v>0</v>
      </c>
      <c r="Q98" s="25" t="s">
        <v>651</v>
      </c>
      <c r="R98" s="17" t="s">
        <v>73</v>
      </c>
      <c r="S98" s="23" t="s">
        <v>84</v>
      </c>
      <c r="T98" s="60" t="s">
        <v>84</v>
      </c>
      <c r="U98" s="20">
        <v>45603</v>
      </c>
    </row>
    <row r="99" spans="1:21" ht="57.95" hidden="1">
      <c r="A99" s="25" t="s">
        <v>652</v>
      </c>
      <c r="B99" s="17" t="s">
        <v>72</v>
      </c>
      <c r="C99" s="50" t="s">
        <v>84</v>
      </c>
      <c r="D99" s="49">
        <v>45603</v>
      </c>
      <c r="E99" s="54" t="s">
        <v>653</v>
      </c>
      <c r="F99" s="71" t="s">
        <v>71</v>
      </c>
      <c r="G99" s="17" t="s">
        <v>73</v>
      </c>
      <c r="H99" s="50" t="s">
        <v>654</v>
      </c>
      <c r="I99" s="50" t="s">
        <v>655</v>
      </c>
      <c r="J99" s="25">
        <v>20201849</v>
      </c>
      <c r="K99" s="17" t="s">
        <v>12</v>
      </c>
      <c r="L99" s="50" t="s">
        <v>84</v>
      </c>
      <c r="M99" s="17" t="s">
        <v>17</v>
      </c>
      <c r="N99" s="24" t="s">
        <v>656</v>
      </c>
      <c r="O99" s="21" t="s">
        <v>657</v>
      </c>
      <c r="P99" s="22">
        <v>0</v>
      </c>
      <c r="Q99" s="25" t="s">
        <v>658</v>
      </c>
      <c r="R99" s="17" t="s">
        <v>73</v>
      </c>
      <c r="S99" s="23" t="s">
        <v>84</v>
      </c>
      <c r="T99" s="60" t="s">
        <v>84</v>
      </c>
      <c r="U99" s="20">
        <v>45607</v>
      </c>
    </row>
    <row r="100" spans="1:21" ht="131.25" hidden="1" customHeight="1">
      <c r="A100" s="25" t="s">
        <v>659</v>
      </c>
      <c r="B100" s="17" t="s">
        <v>69</v>
      </c>
      <c r="C100" s="50" t="s">
        <v>84</v>
      </c>
      <c r="D100" s="49">
        <v>45600</v>
      </c>
      <c r="E100" s="54" t="s">
        <v>165</v>
      </c>
      <c r="F100" s="71" t="s">
        <v>71</v>
      </c>
      <c r="G100" s="17" t="s">
        <v>70</v>
      </c>
      <c r="H100" s="50" t="s">
        <v>94</v>
      </c>
      <c r="I100" s="50" t="s">
        <v>660</v>
      </c>
      <c r="J100" s="25">
        <v>20241823</v>
      </c>
      <c r="K100" s="17" t="s">
        <v>12</v>
      </c>
      <c r="L100" s="50" t="s">
        <v>84</v>
      </c>
      <c r="M100" s="17" t="s">
        <v>17</v>
      </c>
      <c r="N100" s="24" t="s">
        <v>661</v>
      </c>
      <c r="O100" s="24" t="s">
        <v>662</v>
      </c>
      <c r="P100" s="22">
        <v>0</v>
      </c>
      <c r="Q100" s="25" t="s">
        <v>663</v>
      </c>
      <c r="R100" s="17" t="s">
        <v>73</v>
      </c>
      <c r="S100" s="23" t="s">
        <v>84</v>
      </c>
      <c r="T100" s="60" t="s">
        <v>84</v>
      </c>
      <c r="U100" s="20">
        <v>45614</v>
      </c>
    </row>
    <row r="101" spans="1:21" ht="113.25" hidden="1" customHeight="1">
      <c r="A101" s="25" t="s">
        <v>664</v>
      </c>
      <c r="B101" s="17" t="s">
        <v>69</v>
      </c>
      <c r="C101" s="50" t="s">
        <v>84</v>
      </c>
      <c r="D101" s="49">
        <v>45600</v>
      </c>
      <c r="E101" s="54" t="s">
        <v>165</v>
      </c>
      <c r="F101" s="71" t="s">
        <v>71</v>
      </c>
      <c r="G101" s="17" t="s">
        <v>70</v>
      </c>
      <c r="H101" s="50" t="s">
        <v>665</v>
      </c>
      <c r="I101" s="50" t="s">
        <v>308</v>
      </c>
      <c r="J101" s="25">
        <v>20242470</v>
      </c>
      <c r="K101" s="17" t="s">
        <v>9</v>
      </c>
      <c r="L101" s="50" t="s">
        <v>84</v>
      </c>
      <c r="M101" s="17" t="s">
        <v>19</v>
      </c>
      <c r="N101" s="124" t="s">
        <v>666</v>
      </c>
      <c r="O101" s="24" t="s">
        <v>667</v>
      </c>
      <c r="P101" s="22">
        <v>0</v>
      </c>
      <c r="Q101" s="25" t="s">
        <v>668</v>
      </c>
      <c r="R101" s="17" t="s">
        <v>73</v>
      </c>
      <c r="S101" s="23" t="s">
        <v>84</v>
      </c>
      <c r="T101" s="60" t="s">
        <v>84</v>
      </c>
      <c r="U101" s="20">
        <v>45607</v>
      </c>
    </row>
    <row r="102" spans="1:21" ht="174" hidden="1">
      <c r="A102" s="25" t="s">
        <v>669</v>
      </c>
      <c r="B102" s="17" t="s">
        <v>72</v>
      </c>
      <c r="C102" s="50" t="s">
        <v>84</v>
      </c>
      <c r="D102" s="49">
        <v>45594</v>
      </c>
      <c r="E102" s="54" t="s">
        <v>670</v>
      </c>
      <c r="F102" s="71" t="s">
        <v>71</v>
      </c>
      <c r="G102" s="17" t="s">
        <v>73</v>
      </c>
      <c r="H102" s="50" t="s">
        <v>671</v>
      </c>
      <c r="I102" s="50" t="s">
        <v>672</v>
      </c>
      <c r="J102" s="25">
        <v>20232964</v>
      </c>
      <c r="K102" s="17" t="s">
        <v>11</v>
      </c>
      <c r="L102" s="50" t="s">
        <v>84</v>
      </c>
      <c r="M102" s="17" t="s">
        <v>21</v>
      </c>
      <c r="N102" s="25" t="s">
        <v>673</v>
      </c>
      <c r="O102" s="25" t="s">
        <v>674</v>
      </c>
      <c r="P102" s="22">
        <v>70</v>
      </c>
      <c r="Q102" s="25" t="s">
        <v>84</v>
      </c>
      <c r="R102" s="17" t="s">
        <v>70</v>
      </c>
      <c r="S102" s="25" t="s">
        <v>675</v>
      </c>
      <c r="T102" s="67" t="s">
        <v>675</v>
      </c>
      <c r="U102" s="20">
        <v>45623</v>
      </c>
    </row>
    <row r="103" spans="1:21" ht="116.1" hidden="1">
      <c r="A103" s="25" t="s">
        <v>676</v>
      </c>
      <c r="B103" s="17" t="s">
        <v>72</v>
      </c>
      <c r="C103" s="50" t="s">
        <v>84</v>
      </c>
      <c r="D103" s="49">
        <v>45601</v>
      </c>
      <c r="E103" s="54" t="s">
        <v>670</v>
      </c>
      <c r="F103" s="71" t="s">
        <v>71</v>
      </c>
      <c r="G103" s="17" t="s">
        <v>73</v>
      </c>
      <c r="H103" s="50" t="s">
        <v>677</v>
      </c>
      <c r="I103" s="50" t="s">
        <v>672</v>
      </c>
      <c r="J103" s="25">
        <v>20232964</v>
      </c>
      <c r="K103" s="17" t="s">
        <v>10</v>
      </c>
      <c r="L103" s="50" t="s">
        <v>84</v>
      </c>
      <c r="M103" s="17" t="s">
        <v>19</v>
      </c>
      <c r="N103" s="25" t="s">
        <v>678</v>
      </c>
      <c r="O103" s="25" t="s">
        <v>679</v>
      </c>
      <c r="P103" s="22">
        <v>0</v>
      </c>
      <c r="Q103" s="25" t="s">
        <v>84</v>
      </c>
      <c r="R103" s="17" t="s">
        <v>70</v>
      </c>
      <c r="S103" s="125" t="s">
        <v>680</v>
      </c>
      <c r="T103" s="67" t="s">
        <v>681</v>
      </c>
      <c r="U103" s="20">
        <v>45623</v>
      </c>
    </row>
    <row r="104" spans="1:21" ht="341.25" hidden="1" customHeight="1">
      <c r="A104" s="25" t="s">
        <v>682</v>
      </c>
      <c r="B104" s="17" t="s">
        <v>72</v>
      </c>
      <c r="C104" s="50" t="s">
        <v>84</v>
      </c>
      <c r="D104" s="49">
        <v>45611</v>
      </c>
      <c r="E104" s="54" t="s">
        <v>683</v>
      </c>
      <c r="F104" s="71" t="s">
        <v>71</v>
      </c>
      <c r="G104" s="17" t="s">
        <v>73</v>
      </c>
      <c r="H104" s="50" t="s">
        <v>610</v>
      </c>
      <c r="I104" s="50" t="s">
        <v>672</v>
      </c>
      <c r="J104" s="25" t="s">
        <v>684</v>
      </c>
      <c r="K104" s="17" t="s">
        <v>10</v>
      </c>
      <c r="L104" s="50" t="s">
        <v>84</v>
      </c>
      <c r="M104" s="17" t="s">
        <v>15</v>
      </c>
      <c r="N104" s="25" t="s">
        <v>685</v>
      </c>
      <c r="O104" s="126" t="s">
        <v>686</v>
      </c>
      <c r="P104" s="127">
        <v>567.52</v>
      </c>
      <c r="Q104" s="126" t="s">
        <v>519</v>
      </c>
      <c r="R104" s="17" t="s">
        <v>70</v>
      </c>
      <c r="S104" s="128" t="s">
        <v>687</v>
      </c>
      <c r="T104" s="129" t="s">
        <v>687</v>
      </c>
      <c r="U104" s="130" t="s">
        <v>688</v>
      </c>
    </row>
    <row r="105" spans="1:21" ht="130.5" hidden="1">
      <c r="A105" s="25" t="s">
        <v>689</v>
      </c>
      <c r="B105" s="17" t="s">
        <v>69</v>
      </c>
      <c r="C105" s="50" t="s">
        <v>84</v>
      </c>
      <c r="D105" s="49">
        <v>45610</v>
      </c>
      <c r="E105" s="54" t="s">
        <v>546</v>
      </c>
      <c r="F105" s="71" t="s">
        <v>71</v>
      </c>
      <c r="G105" s="17" t="s">
        <v>70</v>
      </c>
      <c r="H105" s="50" t="s">
        <v>290</v>
      </c>
      <c r="I105" s="50" t="s">
        <v>672</v>
      </c>
      <c r="J105" s="25">
        <v>20242576</v>
      </c>
      <c r="K105" s="17" t="s">
        <v>12</v>
      </c>
      <c r="L105" s="50" t="s">
        <v>84</v>
      </c>
      <c r="M105" s="17" t="s">
        <v>19</v>
      </c>
      <c r="N105" s="24" t="s">
        <v>690</v>
      </c>
      <c r="O105" s="24" t="s">
        <v>691</v>
      </c>
      <c r="P105" s="22" t="s">
        <v>692</v>
      </c>
      <c r="Q105" s="25" t="s">
        <v>693</v>
      </c>
      <c r="R105" s="17" t="s">
        <v>73</v>
      </c>
      <c r="S105" s="23" t="s">
        <v>84</v>
      </c>
      <c r="T105" s="60" t="s">
        <v>84</v>
      </c>
      <c r="U105" s="20">
        <v>45681</v>
      </c>
    </row>
    <row r="106" spans="1:21" ht="159.6" hidden="1">
      <c r="A106" s="25" t="s">
        <v>694</v>
      </c>
      <c r="B106" s="17" t="s">
        <v>69</v>
      </c>
      <c r="C106" s="50" t="s">
        <v>84</v>
      </c>
      <c r="D106" s="49">
        <v>45489</v>
      </c>
      <c r="E106" s="54" t="s">
        <v>196</v>
      </c>
      <c r="F106" s="71" t="s">
        <v>71</v>
      </c>
      <c r="G106" s="17" t="s">
        <v>73</v>
      </c>
      <c r="H106" s="50" t="s">
        <v>695</v>
      </c>
      <c r="I106" s="50" t="s">
        <v>87</v>
      </c>
      <c r="J106" s="25">
        <v>20232481</v>
      </c>
      <c r="K106" s="17" t="s">
        <v>12</v>
      </c>
      <c r="L106" s="50" t="s">
        <v>84</v>
      </c>
      <c r="M106" s="17" t="s">
        <v>21</v>
      </c>
      <c r="N106" s="24" t="s">
        <v>696</v>
      </c>
      <c r="O106" s="36" t="s">
        <v>697</v>
      </c>
      <c r="P106" s="22">
        <v>2000</v>
      </c>
      <c r="Q106" s="52" t="s">
        <v>698</v>
      </c>
      <c r="R106" s="17" t="s">
        <v>73</v>
      </c>
      <c r="S106" s="23" t="s">
        <v>84</v>
      </c>
      <c r="T106" s="60" t="s">
        <v>84</v>
      </c>
      <c r="U106" s="20">
        <v>45688</v>
      </c>
    </row>
    <row r="107" spans="1:21" ht="14.45" hidden="1">
      <c r="A107" s="29" t="s">
        <v>699</v>
      </c>
      <c r="B107" s="33"/>
      <c r="C107" s="50" t="s">
        <v>84</v>
      </c>
      <c r="D107" s="105"/>
      <c r="E107" s="105"/>
      <c r="F107" s="131" t="s">
        <v>71</v>
      </c>
      <c r="G107" s="33"/>
      <c r="H107" s="29"/>
      <c r="I107" s="29"/>
      <c r="J107" s="29"/>
      <c r="K107" s="33"/>
      <c r="L107" s="50" t="s">
        <v>84</v>
      </c>
      <c r="M107" s="33"/>
      <c r="N107" s="35"/>
      <c r="O107" s="132"/>
      <c r="P107" s="33"/>
      <c r="Q107" s="29"/>
      <c r="R107" s="33"/>
      <c r="S107" s="133"/>
      <c r="T107" s="113"/>
      <c r="U107" s="33"/>
    </row>
    <row r="108" spans="1:21" ht="174" hidden="1">
      <c r="A108" s="25" t="s">
        <v>700</v>
      </c>
      <c r="B108" s="17" t="s">
        <v>72</v>
      </c>
      <c r="C108" s="50" t="s">
        <v>84</v>
      </c>
      <c r="D108" s="49">
        <v>45516</v>
      </c>
      <c r="E108" s="54" t="s">
        <v>196</v>
      </c>
      <c r="F108" s="71" t="s">
        <v>71</v>
      </c>
      <c r="G108" s="17" t="s">
        <v>73</v>
      </c>
      <c r="H108" s="50" t="s">
        <v>701</v>
      </c>
      <c r="I108" s="50" t="s">
        <v>87</v>
      </c>
      <c r="J108" s="25">
        <v>20221573</v>
      </c>
      <c r="K108" s="17" t="s">
        <v>8</v>
      </c>
      <c r="L108" s="50" t="s">
        <v>84</v>
      </c>
      <c r="M108" s="17" t="s">
        <v>19</v>
      </c>
      <c r="N108" s="24" t="s">
        <v>702</v>
      </c>
      <c r="O108" s="52" t="s">
        <v>703</v>
      </c>
      <c r="P108" s="22">
        <v>0</v>
      </c>
      <c r="Q108" s="25" t="s">
        <v>704</v>
      </c>
      <c r="R108" s="17" t="s">
        <v>73</v>
      </c>
      <c r="S108" s="23" t="s">
        <v>84</v>
      </c>
      <c r="T108" s="60" t="s">
        <v>84</v>
      </c>
      <c r="U108" s="20">
        <v>45667</v>
      </c>
    </row>
    <row r="109" spans="1:21" ht="144.94999999999999" hidden="1">
      <c r="A109" s="25" t="s">
        <v>705</v>
      </c>
      <c r="B109" s="17" t="s">
        <v>72</v>
      </c>
      <c r="C109" s="50" t="s">
        <v>84</v>
      </c>
      <c r="D109" s="49">
        <v>45642</v>
      </c>
      <c r="E109" s="54" t="s">
        <v>165</v>
      </c>
      <c r="F109" s="71" t="s">
        <v>71</v>
      </c>
      <c r="G109" s="17" t="s">
        <v>70</v>
      </c>
      <c r="H109" s="50" t="s">
        <v>706</v>
      </c>
      <c r="I109" s="50" t="s">
        <v>87</v>
      </c>
      <c r="J109" s="25">
        <v>20230943</v>
      </c>
      <c r="K109" s="17" t="s">
        <v>12</v>
      </c>
      <c r="L109" s="50" t="s">
        <v>84</v>
      </c>
      <c r="M109" s="17" t="s">
        <v>17</v>
      </c>
      <c r="N109" s="24" t="s">
        <v>707</v>
      </c>
      <c r="O109" s="24" t="s">
        <v>708</v>
      </c>
      <c r="P109" s="22">
        <v>0</v>
      </c>
      <c r="Q109" s="115" t="s">
        <v>709</v>
      </c>
      <c r="R109" s="17" t="s">
        <v>73</v>
      </c>
      <c r="S109" s="23" t="s">
        <v>84</v>
      </c>
      <c r="T109" s="60" t="s">
        <v>84</v>
      </c>
      <c r="U109" s="20">
        <v>45769</v>
      </c>
    </row>
    <row r="110" spans="1:21" ht="43.5" hidden="1">
      <c r="A110" s="25" t="s">
        <v>710</v>
      </c>
      <c r="B110" s="17" t="s">
        <v>72</v>
      </c>
      <c r="C110" s="50" t="s">
        <v>84</v>
      </c>
      <c r="D110" s="49">
        <v>45616</v>
      </c>
      <c r="E110" s="54" t="s">
        <v>711</v>
      </c>
      <c r="F110" s="71" t="s">
        <v>71</v>
      </c>
      <c r="G110" s="17" t="s">
        <v>73</v>
      </c>
      <c r="H110" s="50" t="s">
        <v>677</v>
      </c>
      <c r="I110" s="50" t="s">
        <v>712</v>
      </c>
      <c r="J110" s="25">
        <v>20241727</v>
      </c>
      <c r="K110" s="17" t="s">
        <v>10</v>
      </c>
      <c r="L110" s="50" t="s">
        <v>84</v>
      </c>
      <c r="M110" s="17" t="s">
        <v>20</v>
      </c>
      <c r="N110" s="24" t="s">
        <v>713</v>
      </c>
      <c r="O110" s="36" t="s">
        <v>714</v>
      </c>
      <c r="P110" s="26" t="s">
        <v>519</v>
      </c>
      <c r="Q110" s="25" t="s">
        <v>715</v>
      </c>
      <c r="R110" s="17" t="s">
        <v>73</v>
      </c>
      <c r="S110" s="23" t="s">
        <v>84</v>
      </c>
      <c r="T110" s="60" t="s">
        <v>84</v>
      </c>
      <c r="U110" s="20">
        <v>45623</v>
      </c>
    </row>
    <row r="111" spans="1:21" ht="174" hidden="1">
      <c r="A111" s="25" t="s">
        <v>716</v>
      </c>
      <c r="B111" s="17" t="s">
        <v>69</v>
      </c>
      <c r="C111" s="50" t="s">
        <v>84</v>
      </c>
      <c r="D111" s="49">
        <v>45364</v>
      </c>
      <c r="E111" s="54" t="s">
        <v>717</v>
      </c>
      <c r="F111" s="71" t="s">
        <v>71</v>
      </c>
      <c r="G111" s="17" t="s">
        <v>73</v>
      </c>
      <c r="H111" s="50" t="s">
        <v>718</v>
      </c>
      <c r="I111" s="50" t="s">
        <v>207</v>
      </c>
      <c r="J111" s="25">
        <v>20222218</v>
      </c>
      <c r="K111" s="17" t="s">
        <v>9</v>
      </c>
      <c r="L111" s="50" t="s">
        <v>84</v>
      </c>
      <c r="M111" s="17" t="s">
        <v>19</v>
      </c>
      <c r="N111" s="24" t="s">
        <v>719</v>
      </c>
      <c r="O111" s="36" t="s">
        <v>720</v>
      </c>
      <c r="P111" s="26" t="s">
        <v>721</v>
      </c>
      <c r="Q111" s="25" t="s">
        <v>722</v>
      </c>
      <c r="R111" s="17" t="s">
        <v>73</v>
      </c>
      <c r="S111" s="23" t="s">
        <v>84</v>
      </c>
      <c r="T111" s="60" t="s">
        <v>84</v>
      </c>
      <c r="U111" s="20" t="s">
        <v>723</v>
      </c>
    </row>
    <row r="112" spans="1:21" ht="217.5" hidden="1">
      <c r="A112" s="25" t="s">
        <v>724</v>
      </c>
      <c r="B112" s="17" t="s">
        <v>69</v>
      </c>
      <c r="C112" s="50" t="s">
        <v>84</v>
      </c>
      <c r="D112" s="49">
        <v>45297</v>
      </c>
      <c r="E112" s="54" t="s">
        <v>717</v>
      </c>
      <c r="F112" s="71" t="s">
        <v>71</v>
      </c>
      <c r="G112" s="17" t="s">
        <v>73</v>
      </c>
      <c r="H112" s="50" t="s">
        <v>725</v>
      </c>
      <c r="I112" s="50" t="s">
        <v>207</v>
      </c>
      <c r="J112" s="25">
        <v>20221245</v>
      </c>
      <c r="K112" s="17" t="s">
        <v>9</v>
      </c>
      <c r="L112" s="50" t="s">
        <v>84</v>
      </c>
      <c r="M112" s="17" t="s">
        <v>19</v>
      </c>
      <c r="N112" s="24" t="s">
        <v>726</v>
      </c>
      <c r="O112" s="36" t="s">
        <v>727</v>
      </c>
      <c r="P112" s="26">
        <v>0</v>
      </c>
      <c r="Q112" s="25" t="s">
        <v>728</v>
      </c>
      <c r="R112" s="17" t="s">
        <v>73</v>
      </c>
      <c r="S112" s="23" t="s">
        <v>84</v>
      </c>
      <c r="T112" s="60" t="s">
        <v>84</v>
      </c>
      <c r="U112" s="20" t="s">
        <v>729</v>
      </c>
    </row>
    <row r="113" spans="1:21" ht="57.95" hidden="1">
      <c r="A113" s="25" t="s">
        <v>730</v>
      </c>
      <c r="B113" s="17" t="s">
        <v>69</v>
      </c>
      <c r="C113" s="50" t="s">
        <v>84</v>
      </c>
      <c r="D113" s="49">
        <v>45025</v>
      </c>
      <c r="E113" s="54" t="s">
        <v>717</v>
      </c>
      <c r="F113" s="71" t="s">
        <v>71</v>
      </c>
      <c r="G113" s="17" t="s">
        <v>73</v>
      </c>
      <c r="H113" s="50" t="s">
        <v>731</v>
      </c>
      <c r="I113" s="50" t="s">
        <v>175</v>
      </c>
      <c r="J113" s="25">
        <v>20222160</v>
      </c>
      <c r="K113" s="17" t="s">
        <v>9</v>
      </c>
      <c r="L113" s="50" t="s">
        <v>84</v>
      </c>
      <c r="M113" s="17" t="s">
        <v>14</v>
      </c>
      <c r="N113" s="24" t="s">
        <v>732</v>
      </c>
      <c r="O113" s="36" t="s">
        <v>733</v>
      </c>
      <c r="P113" s="26">
        <v>0</v>
      </c>
      <c r="Q113" s="25" t="s">
        <v>734</v>
      </c>
      <c r="R113" s="17" t="s">
        <v>73</v>
      </c>
      <c r="S113" s="23" t="s">
        <v>84</v>
      </c>
      <c r="T113" s="60" t="s">
        <v>84</v>
      </c>
      <c r="U113" s="20">
        <v>45174</v>
      </c>
    </row>
    <row r="114" spans="1:21" ht="87" hidden="1">
      <c r="A114" s="25" t="s">
        <v>735</v>
      </c>
      <c r="B114" s="17" t="s">
        <v>72</v>
      </c>
      <c r="C114" s="50" t="s">
        <v>84</v>
      </c>
      <c r="D114" s="49">
        <v>45254</v>
      </c>
      <c r="E114" s="54" t="s">
        <v>717</v>
      </c>
      <c r="F114" s="71" t="s">
        <v>71</v>
      </c>
      <c r="G114" s="17" t="s">
        <v>73</v>
      </c>
      <c r="H114" s="134" t="s">
        <v>736</v>
      </c>
      <c r="I114" s="50" t="s">
        <v>175</v>
      </c>
      <c r="J114" s="25">
        <v>20231219</v>
      </c>
      <c r="K114" s="17" t="s">
        <v>9</v>
      </c>
      <c r="L114" s="50" t="s">
        <v>84</v>
      </c>
      <c r="M114" s="17" t="s">
        <v>18</v>
      </c>
      <c r="N114" s="24" t="s">
        <v>737</v>
      </c>
      <c r="O114" s="36" t="s">
        <v>738</v>
      </c>
      <c r="P114" s="26">
        <v>0</v>
      </c>
      <c r="Q114" s="25" t="s">
        <v>739</v>
      </c>
      <c r="R114" s="17" t="s">
        <v>73</v>
      </c>
      <c r="S114" s="23" t="s">
        <v>84</v>
      </c>
      <c r="T114" s="60" t="s">
        <v>84</v>
      </c>
      <c r="U114" s="20">
        <v>45580</v>
      </c>
    </row>
    <row r="115" spans="1:21" ht="72.599999999999994" hidden="1">
      <c r="A115" s="25" t="s">
        <v>740</v>
      </c>
      <c r="B115" s="17" t="s">
        <v>69</v>
      </c>
      <c r="C115" s="50" t="s">
        <v>84</v>
      </c>
      <c r="D115" s="49">
        <v>45463</v>
      </c>
      <c r="E115" s="54" t="s">
        <v>717</v>
      </c>
      <c r="F115" s="71" t="s">
        <v>71</v>
      </c>
      <c r="G115" s="17" t="s">
        <v>73</v>
      </c>
      <c r="H115" s="50" t="s">
        <v>741</v>
      </c>
      <c r="I115" s="50" t="s">
        <v>207</v>
      </c>
      <c r="J115" s="25">
        <v>20240238</v>
      </c>
      <c r="K115" s="17" t="s">
        <v>10</v>
      </c>
      <c r="L115" s="50" t="s">
        <v>84</v>
      </c>
      <c r="M115" s="17" t="s">
        <v>14</v>
      </c>
      <c r="N115" s="36" t="s">
        <v>742</v>
      </c>
      <c r="O115" s="36" t="s">
        <v>743</v>
      </c>
      <c r="P115" s="26" t="s">
        <v>744</v>
      </c>
      <c r="Q115" s="25" t="s">
        <v>745</v>
      </c>
      <c r="R115" s="17" t="s">
        <v>73</v>
      </c>
      <c r="S115" s="23" t="s">
        <v>84</v>
      </c>
      <c r="T115" s="60" t="s">
        <v>84</v>
      </c>
      <c r="U115" s="20" t="s">
        <v>746</v>
      </c>
    </row>
    <row r="116" spans="1:21" ht="43.5" hidden="1">
      <c r="A116" s="25" t="s">
        <v>747</v>
      </c>
      <c r="B116" s="17" t="s">
        <v>69</v>
      </c>
      <c r="C116" s="50" t="s">
        <v>84</v>
      </c>
      <c r="D116" s="49">
        <v>45627</v>
      </c>
      <c r="E116" s="54" t="s">
        <v>717</v>
      </c>
      <c r="F116" s="71" t="s">
        <v>71</v>
      </c>
      <c r="G116" s="17" t="s">
        <v>73</v>
      </c>
      <c r="H116" s="50" t="s">
        <v>249</v>
      </c>
      <c r="I116" s="50" t="s">
        <v>207</v>
      </c>
      <c r="J116" s="25">
        <v>20222433</v>
      </c>
      <c r="K116" s="17" t="s">
        <v>9</v>
      </c>
      <c r="L116" s="50" t="s">
        <v>84</v>
      </c>
      <c r="M116" s="17" t="s">
        <v>14</v>
      </c>
      <c r="N116" s="24" t="s">
        <v>748</v>
      </c>
      <c r="O116" s="36" t="s">
        <v>749</v>
      </c>
      <c r="P116" s="26">
        <v>6000</v>
      </c>
      <c r="Q116" s="25" t="s">
        <v>750</v>
      </c>
      <c r="R116" s="17" t="s">
        <v>73</v>
      </c>
      <c r="S116" s="23" t="s">
        <v>84</v>
      </c>
      <c r="T116" s="60" t="s">
        <v>84</v>
      </c>
      <c r="U116" s="20">
        <v>45645</v>
      </c>
    </row>
    <row r="117" spans="1:21" ht="72.599999999999994" hidden="1">
      <c r="A117" s="25" t="s">
        <v>751</v>
      </c>
      <c r="B117" s="17" t="s">
        <v>72</v>
      </c>
      <c r="C117" s="50" t="s">
        <v>84</v>
      </c>
      <c r="D117" s="49">
        <v>45560</v>
      </c>
      <c r="E117" s="54" t="s">
        <v>752</v>
      </c>
      <c r="F117" s="71" t="s">
        <v>71</v>
      </c>
      <c r="G117" s="17" t="s">
        <v>73</v>
      </c>
      <c r="H117" s="50" t="s">
        <v>753</v>
      </c>
      <c r="I117" s="50" t="s">
        <v>754</v>
      </c>
      <c r="J117" s="25">
        <v>20241563</v>
      </c>
      <c r="K117" s="17" t="s">
        <v>12</v>
      </c>
      <c r="L117" s="50" t="s">
        <v>84</v>
      </c>
      <c r="M117" s="17" t="s">
        <v>17</v>
      </c>
      <c r="N117" s="24" t="s">
        <v>755</v>
      </c>
      <c r="O117" s="24" t="s">
        <v>756</v>
      </c>
      <c r="P117" s="26">
        <v>0</v>
      </c>
      <c r="Q117" s="25" t="s">
        <v>757</v>
      </c>
      <c r="R117" s="17" t="s">
        <v>73</v>
      </c>
      <c r="S117" s="23" t="s">
        <v>84</v>
      </c>
      <c r="T117" s="60" t="s">
        <v>84</v>
      </c>
      <c r="U117" s="20" t="s">
        <v>758</v>
      </c>
    </row>
    <row r="118" spans="1:21" ht="72.599999999999994" hidden="1">
      <c r="A118" s="25" t="s">
        <v>759</v>
      </c>
      <c r="B118" s="17" t="s">
        <v>72</v>
      </c>
      <c r="C118" s="50" t="s">
        <v>84</v>
      </c>
      <c r="D118" s="49">
        <v>45420</v>
      </c>
      <c r="E118" s="54" t="s">
        <v>752</v>
      </c>
      <c r="F118" s="71" t="s">
        <v>71</v>
      </c>
      <c r="G118" s="17" t="s">
        <v>73</v>
      </c>
      <c r="H118" s="50" t="s">
        <v>760</v>
      </c>
      <c r="I118" s="50" t="s">
        <v>672</v>
      </c>
      <c r="J118" s="25" t="s">
        <v>761</v>
      </c>
      <c r="K118" s="17" t="s">
        <v>11</v>
      </c>
      <c r="L118" s="50" t="s">
        <v>84</v>
      </c>
      <c r="M118" s="17" t="s">
        <v>19</v>
      </c>
      <c r="N118" s="36" t="s">
        <v>762</v>
      </c>
      <c r="O118" s="24" t="s">
        <v>763</v>
      </c>
      <c r="P118" s="26" t="s">
        <v>764</v>
      </c>
      <c r="Q118" s="52" t="s">
        <v>704</v>
      </c>
      <c r="R118" s="17" t="s">
        <v>73</v>
      </c>
      <c r="S118" s="23" t="s">
        <v>84</v>
      </c>
      <c r="T118" s="60" t="s">
        <v>84</v>
      </c>
      <c r="U118" s="20">
        <v>45672</v>
      </c>
    </row>
    <row r="119" spans="1:21" ht="87" hidden="1">
      <c r="A119" s="25" t="s">
        <v>765</v>
      </c>
      <c r="B119" s="17" t="s">
        <v>76</v>
      </c>
      <c r="C119" s="50" t="s">
        <v>84</v>
      </c>
      <c r="D119" s="49">
        <v>45637</v>
      </c>
      <c r="E119" s="54" t="s">
        <v>313</v>
      </c>
      <c r="F119" s="71" t="s">
        <v>71</v>
      </c>
      <c r="G119" s="17" t="s">
        <v>73</v>
      </c>
      <c r="H119" s="50" t="s">
        <v>766</v>
      </c>
      <c r="I119" s="50" t="s">
        <v>264</v>
      </c>
      <c r="J119" s="25">
        <v>2023171</v>
      </c>
      <c r="K119" s="17" t="s">
        <v>10</v>
      </c>
      <c r="L119" s="50" t="s">
        <v>84</v>
      </c>
      <c r="M119" s="17" t="s">
        <v>15</v>
      </c>
      <c r="N119" s="124" t="s">
        <v>767</v>
      </c>
      <c r="O119" s="24" t="s">
        <v>768</v>
      </c>
      <c r="P119" s="26">
        <v>0</v>
      </c>
      <c r="Q119" s="52" t="s">
        <v>769</v>
      </c>
      <c r="R119" s="17" t="s">
        <v>73</v>
      </c>
      <c r="S119" s="23"/>
      <c r="T119" s="60"/>
      <c r="U119" s="20">
        <v>45729</v>
      </c>
    </row>
    <row r="120" spans="1:21" ht="87" hidden="1">
      <c r="A120" s="25" t="s">
        <v>770</v>
      </c>
      <c r="B120" s="17" t="s">
        <v>69</v>
      </c>
      <c r="C120" s="50" t="s">
        <v>84</v>
      </c>
      <c r="D120" s="49">
        <v>45643</v>
      </c>
      <c r="E120" s="54" t="s">
        <v>602</v>
      </c>
      <c r="F120" s="71" t="s">
        <v>71</v>
      </c>
      <c r="G120" s="17" t="s">
        <v>70</v>
      </c>
      <c r="H120" s="50" t="s">
        <v>771</v>
      </c>
      <c r="I120" s="50" t="s">
        <v>772</v>
      </c>
      <c r="J120" s="25">
        <v>20241859</v>
      </c>
      <c r="K120" s="17" t="s">
        <v>12</v>
      </c>
      <c r="L120" s="50" t="s">
        <v>84</v>
      </c>
      <c r="M120" s="17" t="s">
        <v>17</v>
      </c>
      <c r="N120" s="24" t="s">
        <v>773</v>
      </c>
      <c r="O120" s="24" t="s">
        <v>774</v>
      </c>
      <c r="P120" s="26">
        <v>0</v>
      </c>
      <c r="Q120" s="25" t="s">
        <v>775</v>
      </c>
      <c r="R120" s="17" t="s">
        <v>73</v>
      </c>
      <c r="S120" s="23" t="s">
        <v>84</v>
      </c>
      <c r="T120" s="60" t="s">
        <v>84</v>
      </c>
      <c r="U120" s="20">
        <v>45755</v>
      </c>
    </row>
    <row r="121" spans="1:21" ht="87" hidden="1">
      <c r="A121" s="25" t="s">
        <v>776</v>
      </c>
      <c r="B121" s="17" t="s">
        <v>69</v>
      </c>
      <c r="C121" s="50" t="s">
        <v>84</v>
      </c>
      <c r="D121" s="49">
        <v>45653</v>
      </c>
      <c r="E121" s="54" t="s">
        <v>370</v>
      </c>
      <c r="F121" s="71" t="s">
        <v>71</v>
      </c>
      <c r="G121" s="17" t="s">
        <v>70</v>
      </c>
      <c r="H121" s="50" t="s">
        <v>284</v>
      </c>
      <c r="I121" s="50" t="s">
        <v>777</v>
      </c>
      <c r="J121" s="50" t="s">
        <v>777</v>
      </c>
      <c r="K121" s="17" t="s">
        <v>9</v>
      </c>
      <c r="L121" s="50" t="s">
        <v>84</v>
      </c>
      <c r="M121" s="17" t="s">
        <v>19</v>
      </c>
      <c r="N121" s="24" t="s">
        <v>778</v>
      </c>
      <c r="O121" s="24" t="s">
        <v>779</v>
      </c>
      <c r="P121" s="22">
        <v>0</v>
      </c>
      <c r="Q121" s="25" t="s">
        <v>780</v>
      </c>
      <c r="R121" s="17" t="s">
        <v>73</v>
      </c>
      <c r="S121" s="23" t="s">
        <v>84</v>
      </c>
      <c r="T121" s="60" t="s">
        <v>84</v>
      </c>
      <c r="U121" s="20">
        <v>45695</v>
      </c>
    </row>
    <row r="122" spans="1:21" ht="29.1" hidden="1">
      <c r="A122" s="25" t="s">
        <v>781</v>
      </c>
      <c r="B122" s="17" t="s">
        <v>69</v>
      </c>
      <c r="C122" s="50" t="s">
        <v>84</v>
      </c>
      <c r="D122" s="49">
        <v>45659</v>
      </c>
      <c r="E122" s="54" t="s">
        <v>782</v>
      </c>
      <c r="F122" s="71" t="s">
        <v>71</v>
      </c>
      <c r="G122" s="17" t="s">
        <v>73</v>
      </c>
      <c r="H122" s="50" t="s">
        <v>783</v>
      </c>
      <c r="I122" s="50" t="s">
        <v>207</v>
      </c>
      <c r="J122" s="25">
        <v>20240895</v>
      </c>
      <c r="K122" s="17" t="s">
        <v>10</v>
      </c>
      <c r="L122" s="50" t="s">
        <v>84</v>
      </c>
      <c r="M122" s="17" t="s">
        <v>21</v>
      </c>
      <c r="N122" s="24" t="s">
        <v>784</v>
      </c>
      <c r="O122" s="21" t="s">
        <v>785</v>
      </c>
      <c r="P122" s="135" t="s">
        <v>519</v>
      </c>
      <c r="Q122" s="25" t="s">
        <v>786</v>
      </c>
      <c r="R122" s="17" t="s">
        <v>73</v>
      </c>
      <c r="S122" s="23" t="s">
        <v>84</v>
      </c>
      <c r="T122" s="60" t="s">
        <v>84</v>
      </c>
      <c r="U122" s="20">
        <v>45662</v>
      </c>
    </row>
    <row r="123" spans="1:21" ht="144.94999999999999" hidden="1">
      <c r="A123" s="25" t="s">
        <v>787</v>
      </c>
      <c r="B123" s="17" t="s">
        <v>72</v>
      </c>
      <c r="C123" s="50" t="s">
        <v>84</v>
      </c>
      <c r="D123" s="49">
        <v>45653</v>
      </c>
      <c r="E123" s="54" t="s">
        <v>165</v>
      </c>
      <c r="F123" s="71" t="s">
        <v>71</v>
      </c>
      <c r="G123" s="17" t="s">
        <v>70</v>
      </c>
      <c r="H123" s="50" t="s">
        <v>332</v>
      </c>
      <c r="I123" s="50" t="s">
        <v>87</v>
      </c>
      <c r="J123" s="25">
        <v>20222599</v>
      </c>
      <c r="K123" s="17" t="s">
        <v>12</v>
      </c>
      <c r="L123" s="50" t="s">
        <v>84</v>
      </c>
      <c r="M123" s="17" t="s">
        <v>17</v>
      </c>
      <c r="N123" s="124" t="s">
        <v>788</v>
      </c>
      <c r="O123" s="24" t="s">
        <v>789</v>
      </c>
      <c r="P123" s="22">
        <v>0</v>
      </c>
      <c r="Q123" s="115" t="s">
        <v>790</v>
      </c>
      <c r="R123" s="17" t="s">
        <v>73</v>
      </c>
      <c r="S123" s="23" t="s">
        <v>84</v>
      </c>
      <c r="T123" s="60" t="s">
        <v>84</v>
      </c>
      <c r="U123" s="20">
        <v>45757</v>
      </c>
    </row>
    <row r="124" spans="1:21" ht="87" hidden="1">
      <c r="A124" s="25" t="s">
        <v>791</v>
      </c>
      <c r="B124" s="17" t="s">
        <v>69</v>
      </c>
      <c r="C124" s="50" t="s">
        <v>84</v>
      </c>
      <c r="D124" s="49">
        <v>45646</v>
      </c>
      <c r="E124" s="54" t="s">
        <v>165</v>
      </c>
      <c r="F124" s="71" t="s">
        <v>71</v>
      </c>
      <c r="G124" s="17" t="s">
        <v>70</v>
      </c>
      <c r="H124" s="50" t="s">
        <v>792</v>
      </c>
      <c r="I124" s="50" t="s">
        <v>308</v>
      </c>
      <c r="J124" s="25">
        <v>20241523</v>
      </c>
      <c r="K124" s="17" t="s">
        <v>10</v>
      </c>
      <c r="L124" s="50" t="s">
        <v>84</v>
      </c>
      <c r="M124" s="17" t="s">
        <v>19</v>
      </c>
      <c r="N124" s="24" t="s">
        <v>793</v>
      </c>
      <c r="O124" s="24" t="s">
        <v>794</v>
      </c>
      <c r="P124" s="22">
        <v>0</v>
      </c>
      <c r="Q124" s="24" t="s">
        <v>795</v>
      </c>
      <c r="R124" s="17" t="s">
        <v>73</v>
      </c>
      <c r="S124" s="23" t="s">
        <v>84</v>
      </c>
      <c r="T124" s="60" t="s">
        <v>84</v>
      </c>
      <c r="U124" s="20">
        <v>45665</v>
      </c>
    </row>
    <row r="125" spans="1:21" ht="57.95" hidden="1">
      <c r="A125" s="25" t="s">
        <v>796</v>
      </c>
      <c r="B125" s="17" t="s">
        <v>69</v>
      </c>
      <c r="C125" s="50" t="s">
        <v>84</v>
      </c>
      <c r="D125" s="49">
        <v>45299</v>
      </c>
      <c r="E125" s="54" t="s">
        <v>165</v>
      </c>
      <c r="F125" s="71" t="s">
        <v>71</v>
      </c>
      <c r="G125" s="17" t="s">
        <v>70</v>
      </c>
      <c r="H125" s="50" t="s">
        <v>792</v>
      </c>
      <c r="I125" s="50" t="s">
        <v>308</v>
      </c>
      <c r="J125" s="25">
        <v>20241523</v>
      </c>
      <c r="K125" s="17" t="s">
        <v>10</v>
      </c>
      <c r="L125" s="50" t="s">
        <v>84</v>
      </c>
      <c r="M125" s="17" t="s">
        <v>19</v>
      </c>
      <c r="N125" s="24" t="s">
        <v>797</v>
      </c>
      <c r="O125" s="21" t="s">
        <v>798</v>
      </c>
      <c r="P125" s="22">
        <v>0</v>
      </c>
      <c r="Q125" s="25" t="s">
        <v>799</v>
      </c>
      <c r="R125" s="17" t="s">
        <v>73</v>
      </c>
      <c r="S125" s="23" t="s">
        <v>84</v>
      </c>
      <c r="T125" s="60" t="s">
        <v>84</v>
      </c>
      <c r="U125" s="20">
        <v>45665</v>
      </c>
    </row>
    <row r="126" spans="1:21" ht="144.94999999999999" hidden="1">
      <c r="A126" s="25" t="s">
        <v>800</v>
      </c>
      <c r="B126" s="17" t="s">
        <v>72</v>
      </c>
      <c r="C126" s="50" t="s">
        <v>84</v>
      </c>
      <c r="D126" s="49">
        <v>45660</v>
      </c>
      <c r="E126" s="54" t="s">
        <v>546</v>
      </c>
      <c r="F126" s="71" t="s">
        <v>71</v>
      </c>
      <c r="G126" s="17" t="s">
        <v>70</v>
      </c>
      <c r="H126" s="50" t="s">
        <v>801</v>
      </c>
      <c r="I126" s="50" t="s">
        <v>216</v>
      </c>
      <c r="J126" s="25">
        <v>20240215</v>
      </c>
      <c r="K126" s="17" t="s">
        <v>12</v>
      </c>
      <c r="L126" s="50" t="s">
        <v>84</v>
      </c>
      <c r="M126" s="17" t="s">
        <v>14</v>
      </c>
      <c r="N126" s="150" t="s">
        <v>802</v>
      </c>
      <c r="O126" s="150" t="s">
        <v>803</v>
      </c>
      <c r="P126" s="22">
        <v>0</v>
      </c>
      <c r="Q126" s="25" t="s">
        <v>804</v>
      </c>
      <c r="R126" s="17" t="s">
        <v>73</v>
      </c>
      <c r="S126" s="23" t="s">
        <v>84</v>
      </c>
      <c r="T126" s="60" t="s">
        <v>84</v>
      </c>
      <c r="U126" s="20">
        <v>45681</v>
      </c>
    </row>
    <row r="127" spans="1:21" ht="188.45" hidden="1">
      <c r="A127" s="25" t="s">
        <v>805</v>
      </c>
      <c r="B127" s="17" t="s">
        <v>76</v>
      </c>
      <c r="C127" s="50" t="s">
        <v>84</v>
      </c>
      <c r="D127" s="49">
        <v>45629</v>
      </c>
      <c r="E127" s="54" t="s">
        <v>301</v>
      </c>
      <c r="F127" s="71" t="s">
        <v>71</v>
      </c>
      <c r="G127" s="17" t="s">
        <v>73</v>
      </c>
      <c r="H127" s="50" t="s">
        <v>806</v>
      </c>
      <c r="I127" s="50" t="s">
        <v>807</v>
      </c>
      <c r="J127" s="25" t="s">
        <v>808</v>
      </c>
      <c r="K127" s="17" t="s">
        <v>10</v>
      </c>
      <c r="L127" s="50" t="s">
        <v>84</v>
      </c>
      <c r="M127" s="17" t="s">
        <v>19</v>
      </c>
      <c r="N127" s="24" t="s">
        <v>809</v>
      </c>
      <c r="O127" s="25" t="s">
        <v>810</v>
      </c>
      <c r="P127" s="22">
        <v>0</v>
      </c>
      <c r="Q127" s="25" t="s">
        <v>811</v>
      </c>
      <c r="R127" s="17" t="s">
        <v>73</v>
      </c>
      <c r="S127" s="23" t="s">
        <v>84</v>
      </c>
      <c r="T127" s="60" t="s">
        <v>84</v>
      </c>
      <c r="U127" s="20">
        <v>45646</v>
      </c>
    </row>
    <row r="128" spans="1:21" ht="87" hidden="1">
      <c r="A128" s="25" t="s">
        <v>812</v>
      </c>
      <c r="B128" s="17" t="s">
        <v>76</v>
      </c>
      <c r="C128" s="50" t="s">
        <v>84</v>
      </c>
      <c r="D128" s="49">
        <v>45646</v>
      </c>
      <c r="E128" s="54" t="s">
        <v>301</v>
      </c>
      <c r="F128" s="71" t="s">
        <v>71</v>
      </c>
      <c r="G128" s="17" t="s">
        <v>73</v>
      </c>
      <c r="H128" s="50" t="s">
        <v>813</v>
      </c>
      <c r="I128" s="50" t="s">
        <v>87</v>
      </c>
      <c r="J128" s="25" t="s">
        <v>814</v>
      </c>
      <c r="K128" s="17" t="s">
        <v>10</v>
      </c>
      <c r="L128" s="50" t="s">
        <v>84</v>
      </c>
      <c r="M128" s="17" t="s">
        <v>19</v>
      </c>
      <c r="N128" s="24" t="s">
        <v>815</v>
      </c>
      <c r="O128" s="24" t="s">
        <v>816</v>
      </c>
      <c r="P128" s="22">
        <v>0</v>
      </c>
      <c r="Q128" s="25" t="s">
        <v>817</v>
      </c>
      <c r="R128" s="17" t="s">
        <v>73</v>
      </c>
      <c r="S128" s="23" t="s">
        <v>84</v>
      </c>
      <c r="T128" s="60" t="s">
        <v>84</v>
      </c>
      <c r="U128" s="20">
        <v>45679</v>
      </c>
    </row>
    <row r="129" spans="1:21" ht="72.599999999999994" hidden="1">
      <c r="A129" s="25" t="s">
        <v>818</v>
      </c>
      <c r="B129" s="17" t="s">
        <v>69</v>
      </c>
      <c r="C129" s="50" t="s">
        <v>84</v>
      </c>
      <c r="D129" s="49">
        <v>45671</v>
      </c>
      <c r="E129" s="54" t="s">
        <v>819</v>
      </c>
      <c r="F129" s="71" t="s">
        <v>71</v>
      </c>
      <c r="G129" s="17" t="s">
        <v>70</v>
      </c>
      <c r="H129" s="50" t="s">
        <v>314</v>
      </c>
      <c r="I129" s="50" t="s">
        <v>820</v>
      </c>
      <c r="J129" s="25">
        <v>20242891</v>
      </c>
      <c r="K129" s="17" t="s">
        <v>12</v>
      </c>
      <c r="L129" s="50" t="s">
        <v>84</v>
      </c>
      <c r="M129" s="17" t="s">
        <v>14</v>
      </c>
      <c r="N129" s="166" t="s">
        <v>821</v>
      </c>
      <c r="O129" s="166" t="s">
        <v>822</v>
      </c>
      <c r="P129" s="22">
        <v>0</v>
      </c>
      <c r="Q129" s="25" t="s">
        <v>823</v>
      </c>
      <c r="R129" s="17" t="s">
        <v>73</v>
      </c>
      <c r="S129" s="23" t="s">
        <v>84</v>
      </c>
      <c r="T129" s="60" t="s">
        <v>84</v>
      </c>
      <c r="U129" s="20">
        <v>45681</v>
      </c>
    </row>
    <row r="130" spans="1:21" ht="72.599999999999994" hidden="1">
      <c r="A130" s="25" t="s">
        <v>824</v>
      </c>
      <c r="B130" s="17" t="s">
        <v>69</v>
      </c>
      <c r="C130" s="50" t="s">
        <v>84</v>
      </c>
      <c r="D130" s="49">
        <v>45670</v>
      </c>
      <c r="E130" s="54" t="s">
        <v>188</v>
      </c>
      <c r="F130" s="71" t="s">
        <v>71</v>
      </c>
      <c r="G130" s="17" t="s">
        <v>70</v>
      </c>
      <c r="H130" s="50" t="s">
        <v>825</v>
      </c>
      <c r="I130" s="50" t="s">
        <v>655</v>
      </c>
      <c r="J130" s="25">
        <v>20242335</v>
      </c>
      <c r="K130" s="17" t="s">
        <v>10</v>
      </c>
      <c r="L130" s="50" t="s">
        <v>84</v>
      </c>
      <c r="M130" s="17" t="s">
        <v>17</v>
      </c>
      <c r="N130" s="24" t="s">
        <v>826</v>
      </c>
      <c r="O130" s="21" t="s">
        <v>827</v>
      </c>
      <c r="P130" s="22">
        <v>0</v>
      </c>
      <c r="Q130" s="25" t="s">
        <v>828</v>
      </c>
      <c r="R130" s="17" t="s">
        <v>73</v>
      </c>
      <c r="S130" s="23" t="s">
        <v>84</v>
      </c>
      <c r="T130" s="60" t="s">
        <v>84</v>
      </c>
      <c r="U130" s="20">
        <v>45671</v>
      </c>
    </row>
    <row r="131" spans="1:21" ht="43.5" hidden="1">
      <c r="A131" s="25" t="s">
        <v>829</v>
      </c>
      <c r="B131" s="17" t="s">
        <v>69</v>
      </c>
      <c r="C131" s="50" t="s">
        <v>84</v>
      </c>
      <c r="D131" s="18">
        <v>45680</v>
      </c>
      <c r="E131" s="17" t="s">
        <v>85</v>
      </c>
      <c r="F131" s="71" t="s">
        <v>71</v>
      </c>
      <c r="G131" s="17" t="s">
        <v>73</v>
      </c>
      <c r="H131" s="17" t="s">
        <v>830</v>
      </c>
      <c r="I131" s="17" t="s">
        <v>87</v>
      </c>
      <c r="J131" s="25" t="s">
        <v>831</v>
      </c>
      <c r="K131" s="17" t="s">
        <v>12</v>
      </c>
      <c r="L131" s="50" t="s">
        <v>84</v>
      </c>
      <c r="M131" s="17" t="s">
        <v>19</v>
      </c>
      <c r="N131" s="24" t="s">
        <v>832</v>
      </c>
      <c r="O131" s="21" t="s">
        <v>833</v>
      </c>
      <c r="P131" s="22">
        <v>150</v>
      </c>
      <c r="Q131" s="25" t="s">
        <v>834</v>
      </c>
      <c r="R131" s="17" t="s">
        <v>73</v>
      </c>
      <c r="S131" s="23" t="s">
        <v>84</v>
      </c>
      <c r="T131" s="60" t="s">
        <v>84</v>
      </c>
      <c r="U131" s="20">
        <v>45685</v>
      </c>
    </row>
    <row r="132" spans="1:21" ht="57.95" hidden="1">
      <c r="A132" s="25" t="s">
        <v>835</v>
      </c>
      <c r="B132" s="17" t="s">
        <v>72</v>
      </c>
      <c r="C132" s="50" t="s">
        <v>84</v>
      </c>
      <c r="D132" s="18">
        <v>45536</v>
      </c>
      <c r="E132" s="17" t="s">
        <v>85</v>
      </c>
      <c r="F132" s="71" t="s">
        <v>71</v>
      </c>
      <c r="G132" s="17" t="s">
        <v>73</v>
      </c>
      <c r="H132" s="19" t="s">
        <v>836</v>
      </c>
      <c r="I132" s="19" t="s">
        <v>87</v>
      </c>
      <c r="J132" s="25" t="s">
        <v>837</v>
      </c>
      <c r="K132" s="17" t="s">
        <v>9</v>
      </c>
      <c r="L132" s="50" t="s">
        <v>84</v>
      </c>
      <c r="M132" s="17" t="s">
        <v>19</v>
      </c>
      <c r="N132" s="24" t="s">
        <v>838</v>
      </c>
      <c r="O132" s="24" t="s">
        <v>839</v>
      </c>
      <c r="P132" s="22" t="s">
        <v>840</v>
      </c>
      <c r="Q132" s="25" t="s">
        <v>841</v>
      </c>
      <c r="R132" s="17" t="s">
        <v>73</v>
      </c>
      <c r="S132" s="23"/>
      <c r="T132" s="60"/>
      <c r="U132" s="20">
        <v>45666</v>
      </c>
    </row>
    <row r="133" spans="1:21" ht="43.5" hidden="1">
      <c r="A133" s="25" t="s">
        <v>842</v>
      </c>
      <c r="B133" s="17" t="s">
        <v>72</v>
      </c>
      <c r="C133" s="50" t="s">
        <v>84</v>
      </c>
      <c r="D133" s="18">
        <v>45490</v>
      </c>
      <c r="E133" s="17" t="s">
        <v>85</v>
      </c>
      <c r="F133" s="71" t="s">
        <v>71</v>
      </c>
      <c r="G133" s="17" t="s">
        <v>73</v>
      </c>
      <c r="H133" s="19" t="s">
        <v>843</v>
      </c>
      <c r="I133" s="19" t="s">
        <v>87</v>
      </c>
      <c r="J133" s="25">
        <v>20230315</v>
      </c>
      <c r="K133" s="17" t="s">
        <v>10</v>
      </c>
      <c r="L133" s="50" t="s">
        <v>84</v>
      </c>
      <c r="M133" s="17" t="s">
        <v>20</v>
      </c>
      <c r="N133" s="24" t="s">
        <v>844</v>
      </c>
      <c r="O133" s="21" t="s">
        <v>845</v>
      </c>
      <c r="P133" s="22">
        <v>0</v>
      </c>
      <c r="Q133" s="25" t="s">
        <v>846</v>
      </c>
      <c r="R133" s="17" t="s">
        <v>73</v>
      </c>
      <c r="S133" s="23"/>
      <c r="T133" s="60"/>
      <c r="U133" s="20">
        <v>45579</v>
      </c>
    </row>
    <row r="134" spans="1:21" ht="210" hidden="1" customHeight="1">
      <c r="A134" s="25" t="s">
        <v>847</v>
      </c>
      <c r="B134" s="17" t="s">
        <v>69</v>
      </c>
      <c r="C134" s="50" t="s">
        <v>84</v>
      </c>
      <c r="D134" s="18">
        <v>45609</v>
      </c>
      <c r="E134" s="17" t="s">
        <v>278</v>
      </c>
      <c r="F134" s="71" t="s">
        <v>71</v>
      </c>
      <c r="G134" s="17" t="s">
        <v>73</v>
      </c>
      <c r="H134" s="17" t="s">
        <v>848</v>
      </c>
      <c r="I134" s="17" t="s">
        <v>87</v>
      </c>
      <c r="J134" s="25">
        <v>20222617</v>
      </c>
      <c r="K134" s="17" t="s">
        <v>10</v>
      </c>
      <c r="L134" s="50" t="s">
        <v>84</v>
      </c>
      <c r="M134" s="17" t="s">
        <v>19</v>
      </c>
      <c r="N134" s="25" t="s">
        <v>849</v>
      </c>
      <c r="O134" s="25" t="s">
        <v>850</v>
      </c>
      <c r="P134" s="22">
        <v>500</v>
      </c>
      <c r="Q134" s="25" t="s">
        <v>851</v>
      </c>
      <c r="R134" s="17" t="s">
        <v>73</v>
      </c>
      <c r="S134" s="23" t="s">
        <v>84</v>
      </c>
      <c r="T134" s="60" t="s">
        <v>84</v>
      </c>
      <c r="U134" s="20">
        <v>45624</v>
      </c>
    </row>
    <row r="135" spans="1:21" ht="57.95" hidden="1">
      <c r="A135" s="25" t="s">
        <v>852</v>
      </c>
      <c r="B135" s="17" t="s">
        <v>76</v>
      </c>
      <c r="C135" s="50" t="s">
        <v>84</v>
      </c>
      <c r="D135" s="18">
        <v>45779</v>
      </c>
      <c r="E135" s="17" t="s">
        <v>853</v>
      </c>
      <c r="F135" s="71" t="s">
        <v>71</v>
      </c>
      <c r="G135" s="17" t="s">
        <v>73</v>
      </c>
      <c r="H135" s="17" t="s">
        <v>806</v>
      </c>
      <c r="I135" s="17" t="s">
        <v>87</v>
      </c>
      <c r="J135" s="25">
        <v>20221617</v>
      </c>
      <c r="K135" s="17" t="s">
        <v>10</v>
      </c>
      <c r="L135" s="50" t="s">
        <v>84</v>
      </c>
      <c r="M135" s="17" t="s">
        <v>19</v>
      </c>
      <c r="N135" s="52" t="s">
        <v>854</v>
      </c>
      <c r="O135" s="52" t="s">
        <v>855</v>
      </c>
      <c r="P135" s="22">
        <v>0</v>
      </c>
      <c r="Q135" s="25" t="s">
        <v>856</v>
      </c>
      <c r="R135" s="17" t="s">
        <v>73</v>
      </c>
      <c r="S135" s="23" t="s">
        <v>84</v>
      </c>
      <c r="T135" s="60" t="s">
        <v>84</v>
      </c>
      <c r="U135" s="20">
        <v>45695</v>
      </c>
    </row>
    <row r="136" spans="1:21" ht="57.95" hidden="1">
      <c r="A136" s="25" t="s">
        <v>857</v>
      </c>
      <c r="B136" s="17" t="s">
        <v>69</v>
      </c>
      <c r="C136" s="50" t="s">
        <v>84</v>
      </c>
      <c r="D136" s="49">
        <v>45653</v>
      </c>
      <c r="E136" s="54" t="s">
        <v>370</v>
      </c>
      <c r="F136" s="71" t="s">
        <v>71</v>
      </c>
      <c r="G136" s="17" t="s">
        <v>73</v>
      </c>
      <c r="H136" s="50" t="s">
        <v>858</v>
      </c>
      <c r="I136" s="50" t="s">
        <v>777</v>
      </c>
      <c r="J136" s="50" t="s">
        <v>777</v>
      </c>
      <c r="K136" s="17" t="s">
        <v>9</v>
      </c>
      <c r="L136" s="50" t="s">
        <v>84</v>
      </c>
      <c r="M136" s="17" t="s">
        <v>19</v>
      </c>
      <c r="N136" s="24" t="s">
        <v>859</v>
      </c>
      <c r="O136" s="24" t="s">
        <v>860</v>
      </c>
      <c r="P136" s="22">
        <v>0</v>
      </c>
      <c r="Q136" s="25" t="s">
        <v>780</v>
      </c>
      <c r="R136" s="17" t="s">
        <v>73</v>
      </c>
      <c r="S136" s="23" t="s">
        <v>84</v>
      </c>
      <c r="T136" s="60" t="s">
        <v>84</v>
      </c>
      <c r="U136" s="20">
        <v>45695</v>
      </c>
    </row>
    <row r="137" spans="1:21" ht="43.5" hidden="1">
      <c r="A137" s="25" t="s">
        <v>861</v>
      </c>
      <c r="B137" s="17" t="s">
        <v>69</v>
      </c>
      <c r="C137" s="50" t="s">
        <v>84</v>
      </c>
      <c r="D137" s="20">
        <v>45700</v>
      </c>
      <c r="E137" s="17" t="s">
        <v>862</v>
      </c>
      <c r="F137" s="71" t="s">
        <v>71</v>
      </c>
      <c r="G137" s="17" t="s">
        <v>70</v>
      </c>
      <c r="H137" s="17" t="s">
        <v>863</v>
      </c>
      <c r="I137" s="17" t="s">
        <v>864</v>
      </c>
      <c r="J137" s="25">
        <v>20242696</v>
      </c>
      <c r="K137" s="17" t="s">
        <v>865</v>
      </c>
      <c r="L137" s="50" t="s">
        <v>84</v>
      </c>
      <c r="M137" s="17" t="s">
        <v>17</v>
      </c>
      <c r="N137" s="150" t="s">
        <v>866</v>
      </c>
      <c r="O137" s="21" t="s">
        <v>867</v>
      </c>
      <c r="P137" s="22">
        <v>0</v>
      </c>
      <c r="Q137" s="25" t="s">
        <v>868</v>
      </c>
      <c r="R137" s="17" t="s">
        <v>73</v>
      </c>
      <c r="S137" s="23" t="s">
        <v>84</v>
      </c>
      <c r="T137" s="60" t="s">
        <v>84</v>
      </c>
      <c r="U137" s="20">
        <v>45756</v>
      </c>
    </row>
    <row r="138" spans="1:21" ht="144.94999999999999" hidden="1">
      <c r="A138" s="25" t="s">
        <v>869</v>
      </c>
      <c r="B138" s="17" t="s">
        <v>72</v>
      </c>
      <c r="C138" s="50" t="s">
        <v>84</v>
      </c>
      <c r="D138" s="49">
        <v>45700</v>
      </c>
      <c r="E138" s="54" t="s">
        <v>337</v>
      </c>
      <c r="F138" s="71" t="s">
        <v>71</v>
      </c>
      <c r="G138" s="17" t="s">
        <v>73</v>
      </c>
      <c r="H138" s="50" t="s">
        <v>870</v>
      </c>
      <c r="I138" s="50" t="s">
        <v>87</v>
      </c>
      <c r="J138" s="25">
        <v>20233065</v>
      </c>
      <c r="K138" s="17" t="s">
        <v>10</v>
      </c>
      <c r="L138" s="50" t="s">
        <v>84</v>
      </c>
      <c r="M138" s="17" t="s">
        <v>15</v>
      </c>
      <c r="N138" s="24" t="s">
        <v>871</v>
      </c>
      <c r="O138" s="24" t="s">
        <v>872</v>
      </c>
      <c r="P138" s="26" t="s">
        <v>873</v>
      </c>
      <c r="Q138" s="25" t="s">
        <v>874</v>
      </c>
      <c r="R138" s="17" t="s">
        <v>73</v>
      </c>
      <c r="S138" s="23" t="s">
        <v>84</v>
      </c>
      <c r="T138" s="60" t="s">
        <v>84</v>
      </c>
      <c r="U138" s="20">
        <v>45756</v>
      </c>
    </row>
    <row r="139" spans="1:21" ht="174" hidden="1">
      <c r="A139" s="25" t="s">
        <v>875</v>
      </c>
      <c r="B139" s="17" t="s">
        <v>72</v>
      </c>
      <c r="C139" s="50" t="s">
        <v>84</v>
      </c>
      <c r="D139" s="49">
        <v>45705</v>
      </c>
      <c r="E139" s="54" t="s">
        <v>165</v>
      </c>
      <c r="F139" s="71" t="s">
        <v>71</v>
      </c>
      <c r="G139" s="17" t="s">
        <v>70</v>
      </c>
      <c r="H139" s="50" t="s">
        <v>332</v>
      </c>
      <c r="I139" s="50" t="s">
        <v>87</v>
      </c>
      <c r="J139" s="25">
        <v>20222599</v>
      </c>
      <c r="K139" s="17" t="s">
        <v>12</v>
      </c>
      <c r="L139" s="50" t="s">
        <v>84</v>
      </c>
      <c r="M139" s="17" t="s">
        <v>17</v>
      </c>
      <c r="N139" s="150" t="s">
        <v>876</v>
      </c>
      <c r="O139" s="24" t="s">
        <v>877</v>
      </c>
      <c r="P139" s="22">
        <v>0</v>
      </c>
      <c r="Q139" s="25" t="s">
        <v>878</v>
      </c>
      <c r="R139" s="17" t="s">
        <v>73</v>
      </c>
      <c r="S139" s="23" t="s">
        <v>84</v>
      </c>
      <c r="T139" s="60" t="s">
        <v>84</v>
      </c>
      <c r="U139" s="20">
        <v>45757</v>
      </c>
    </row>
    <row r="140" spans="1:21" ht="78" hidden="1" customHeight="1">
      <c r="A140" s="25" t="s">
        <v>879</v>
      </c>
      <c r="B140" s="17" t="s">
        <v>69</v>
      </c>
      <c r="C140" s="50" t="s">
        <v>84</v>
      </c>
      <c r="D140" s="49">
        <v>45706</v>
      </c>
      <c r="E140" s="54" t="s">
        <v>546</v>
      </c>
      <c r="F140" s="71" t="s">
        <v>71</v>
      </c>
      <c r="G140" s="17" t="s">
        <v>70</v>
      </c>
      <c r="H140" s="50" t="s">
        <v>880</v>
      </c>
      <c r="I140" s="50" t="s">
        <v>881</v>
      </c>
      <c r="J140" s="25">
        <v>20241873</v>
      </c>
      <c r="K140" s="17" t="s">
        <v>11</v>
      </c>
      <c r="L140" s="50" t="s">
        <v>84</v>
      </c>
      <c r="M140" s="17" t="s">
        <v>19</v>
      </c>
      <c r="N140" s="24" t="s">
        <v>882</v>
      </c>
      <c r="O140" s="24" t="s">
        <v>883</v>
      </c>
      <c r="P140" s="22">
        <v>0</v>
      </c>
      <c r="Q140" s="25" t="s">
        <v>884</v>
      </c>
      <c r="R140" s="17" t="s">
        <v>73</v>
      </c>
      <c r="S140" s="23" t="s">
        <v>84</v>
      </c>
      <c r="T140" s="60" t="s">
        <v>84</v>
      </c>
      <c r="U140" s="20" t="s">
        <v>885</v>
      </c>
    </row>
    <row r="141" spans="1:21" ht="25.5" hidden="1" customHeight="1">
      <c r="A141" s="25" t="s">
        <v>886</v>
      </c>
      <c r="B141" s="17" t="s">
        <v>72</v>
      </c>
      <c r="C141" s="50" t="s">
        <v>84</v>
      </c>
      <c r="D141" s="49">
        <v>45705</v>
      </c>
      <c r="E141" s="54" t="s">
        <v>887</v>
      </c>
      <c r="F141" s="71" t="s">
        <v>71</v>
      </c>
      <c r="G141" s="17" t="s">
        <v>73</v>
      </c>
      <c r="H141" s="50" t="s">
        <v>888</v>
      </c>
      <c r="I141" s="50" t="s">
        <v>889</v>
      </c>
      <c r="J141" s="25">
        <v>20231837</v>
      </c>
      <c r="K141" s="17" t="s">
        <v>10</v>
      </c>
      <c r="L141" s="50" t="s">
        <v>84</v>
      </c>
      <c r="M141" s="17" t="s">
        <v>15</v>
      </c>
      <c r="N141" s="36" t="s">
        <v>890</v>
      </c>
      <c r="O141" s="24" t="s">
        <v>891</v>
      </c>
      <c r="P141" s="22">
        <v>42.24</v>
      </c>
      <c r="Q141" s="25" t="s">
        <v>892</v>
      </c>
      <c r="R141" s="17" t="s">
        <v>73</v>
      </c>
      <c r="S141" s="23" t="s">
        <v>84</v>
      </c>
      <c r="T141" s="60" t="s">
        <v>84</v>
      </c>
      <c r="U141" s="20" t="s">
        <v>885</v>
      </c>
    </row>
    <row r="142" spans="1:21" ht="101.45" hidden="1">
      <c r="A142" s="25" t="s">
        <v>893</v>
      </c>
      <c r="B142" s="17" t="s">
        <v>894</v>
      </c>
      <c r="C142" s="50" t="s">
        <v>84</v>
      </c>
      <c r="D142" s="20">
        <v>45701</v>
      </c>
      <c r="E142" s="17" t="s">
        <v>895</v>
      </c>
      <c r="F142" s="17" t="s">
        <v>71</v>
      </c>
      <c r="G142" s="17" t="s">
        <v>73</v>
      </c>
      <c r="H142" s="25" t="s">
        <v>896</v>
      </c>
      <c r="I142" s="17" t="s">
        <v>889</v>
      </c>
      <c r="J142" s="25">
        <v>20222390</v>
      </c>
      <c r="K142" s="17" t="s">
        <v>10</v>
      </c>
      <c r="L142" s="50" t="s">
        <v>84</v>
      </c>
      <c r="M142" s="17" t="s">
        <v>897</v>
      </c>
      <c r="N142" s="27" t="s">
        <v>898</v>
      </c>
      <c r="O142" s="36" t="s">
        <v>899</v>
      </c>
      <c r="P142" s="26" t="s">
        <v>900</v>
      </c>
      <c r="Q142" s="25" t="s">
        <v>901</v>
      </c>
      <c r="R142" s="17" t="s">
        <v>73</v>
      </c>
      <c r="S142" s="136" t="s">
        <v>84</v>
      </c>
      <c r="T142" s="83" t="s">
        <v>84</v>
      </c>
      <c r="U142" s="20">
        <v>45758</v>
      </c>
    </row>
    <row r="143" spans="1:21" ht="57.95" hidden="1">
      <c r="A143" s="25" t="s">
        <v>902</v>
      </c>
      <c r="B143" s="69" t="s">
        <v>72</v>
      </c>
      <c r="C143" s="50" t="s">
        <v>84</v>
      </c>
      <c r="D143" s="78">
        <v>45379</v>
      </c>
      <c r="E143" s="71" t="s">
        <v>196</v>
      </c>
      <c r="F143" s="17" t="s">
        <v>71</v>
      </c>
      <c r="G143" s="69" t="s">
        <v>73</v>
      </c>
      <c r="H143" s="72" t="s">
        <v>228</v>
      </c>
      <c r="I143" s="71" t="s">
        <v>198</v>
      </c>
      <c r="J143" s="71" t="s">
        <v>229</v>
      </c>
      <c r="K143" s="69" t="s">
        <v>12</v>
      </c>
      <c r="L143" s="50" t="s">
        <v>84</v>
      </c>
      <c r="M143" s="69" t="s">
        <v>21</v>
      </c>
      <c r="N143" s="172" t="s">
        <v>903</v>
      </c>
      <c r="O143" s="80" t="s">
        <v>231</v>
      </c>
      <c r="P143" s="81">
        <v>0</v>
      </c>
      <c r="Q143" s="82" t="s">
        <v>904</v>
      </c>
      <c r="R143" s="69" t="s">
        <v>73</v>
      </c>
      <c r="S143" s="136" t="s">
        <v>84</v>
      </c>
      <c r="T143" s="83" t="s">
        <v>84</v>
      </c>
      <c r="U143" s="78">
        <v>45435</v>
      </c>
    </row>
    <row r="144" spans="1:21" ht="72.599999999999994" hidden="1">
      <c r="A144" s="25" t="s">
        <v>905</v>
      </c>
      <c r="B144" s="17" t="s">
        <v>69</v>
      </c>
      <c r="C144" s="50" t="s">
        <v>84</v>
      </c>
      <c r="D144" s="49">
        <v>45713</v>
      </c>
      <c r="E144" s="54" t="s">
        <v>165</v>
      </c>
      <c r="F144" s="17" t="s">
        <v>71</v>
      </c>
      <c r="G144" s="17" t="s">
        <v>70</v>
      </c>
      <c r="H144" s="50" t="s">
        <v>906</v>
      </c>
      <c r="I144" s="50" t="s">
        <v>87</v>
      </c>
      <c r="J144" s="25">
        <v>20242784</v>
      </c>
      <c r="K144" s="17" t="s">
        <v>11</v>
      </c>
      <c r="L144" s="50" t="s">
        <v>84</v>
      </c>
      <c r="M144" s="17" t="s">
        <v>19</v>
      </c>
      <c r="N144" s="24" t="s">
        <v>907</v>
      </c>
      <c r="O144" s="52" t="s">
        <v>908</v>
      </c>
      <c r="P144" s="22">
        <v>0</v>
      </c>
      <c r="Q144" s="25" t="s">
        <v>909</v>
      </c>
      <c r="R144" s="17" t="s">
        <v>73</v>
      </c>
      <c r="S144" s="136" t="s">
        <v>84</v>
      </c>
      <c r="T144" s="83" t="s">
        <v>84</v>
      </c>
      <c r="U144" s="20">
        <v>45722</v>
      </c>
    </row>
    <row r="145" spans="1:21" ht="43.5" hidden="1">
      <c r="A145" s="25" t="s">
        <v>910</v>
      </c>
      <c r="B145" s="51" t="s">
        <v>69</v>
      </c>
      <c r="C145" s="50" t="s">
        <v>84</v>
      </c>
      <c r="D145" s="96">
        <v>45659</v>
      </c>
      <c r="E145" s="28" t="s">
        <v>911</v>
      </c>
      <c r="F145" s="17" t="s">
        <v>71</v>
      </c>
      <c r="G145" s="17" t="s">
        <v>70</v>
      </c>
      <c r="H145" s="125" t="s">
        <v>912</v>
      </c>
      <c r="I145" s="125" t="s">
        <v>87</v>
      </c>
      <c r="J145" s="125">
        <v>20242065</v>
      </c>
      <c r="K145" s="17" t="s">
        <v>12</v>
      </c>
      <c r="L145" s="50" t="s">
        <v>84</v>
      </c>
      <c r="M145" s="51" t="s">
        <v>17</v>
      </c>
      <c r="N145" s="53" t="s">
        <v>913</v>
      </c>
      <c r="O145" s="53" t="s">
        <v>914</v>
      </c>
      <c r="P145" s="22">
        <v>0</v>
      </c>
      <c r="Q145" s="125" t="s">
        <v>915</v>
      </c>
      <c r="R145" s="17" t="s">
        <v>73</v>
      </c>
      <c r="S145" s="136" t="s">
        <v>84</v>
      </c>
      <c r="T145" s="83" t="s">
        <v>84</v>
      </c>
      <c r="U145" s="20">
        <v>45665</v>
      </c>
    </row>
    <row r="146" spans="1:21" ht="43.5" hidden="1">
      <c r="A146" s="25" t="s">
        <v>916</v>
      </c>
      <c r="B146" s="51" t="s">
        <v>69</v>
      </c>
      <c r="C146" s="50" t="s">
        <v>84</v>
      </c>
      <c r="D146" s="96">
        <v>45660</v>
      </c>
      <c r="E146" s="28" t="s">
        <v>911</v>
      </c>
      <c r="F146" s="17" t="s">
        <v>71</v>
      </c>
      <c r="G146" s="17" t="s">
        <v>70</v>
      </c>
      <c r="H146" s="125" t="s">
        <v>912</v>
      </c>
      <c r="I146" s="125" t="s">
        <v>87</v>
      </c>
      <c r="J146" s="125">
        <v>20242065</v>
      </c>
      <c r="K146" s="17" t="s">
        <v>12</v>
      </c>
      <c r="L146" s="50" t="s">
        <v>84</v>
      </c>
      <c r="M146" s="51" t="s">
        <v>17</v>
      </c>
      <c r="N146" s="53" t="s">
        <v>917</v>
      </c>
      <c r="O146" s="53" t="s">
        <v>918</v>
      </c>
      <c r="P146" s="22">
        <v>0</v>
      </c>
      <c r="Q146" s="125" t="s">
        <v>919</v>
      </c>
      <c r="R146" s="17" t="s">
        <v>73</v>
      </c>
      <c r="S146" s="136" t="s">
        <v>84</v>
      </c>
      <c r="T146" s="83" t="s">
        <v>84</v>
      </c>
      <c r="U146" s="20">
        <v>45665</v>
      </c>
    </row>
    <row r="147" spans="1:21" ht="43.5" hidden="1">
      <c r="A147" s="25" t="s">
        <v>920</v>
      </c>
      <c r="B147" s="51" t="s">
        <v>69</v>
      </c>
      <c r="C147" s="50" t="s">
        <v>84</v>
      </c>
      <c r="D147" s="96">
        <v>45674</v>
      </c>
      <c r="E147" s="28" t="s">
        <v>911</v>
      </c>
      <c r="F147" s="17" t="s">
        <v>71</v>
      </c>
      <c r="G147" s="51" t="s">
        <v>70</v>
      </c>
      <c r="H147" s="125" t="s">
        <v>921</v>
      </c>
      <c r="I147" s="125" t="s">
        <v>87</v>
      </c>
      <c r="J147" s="125">
        <v>20242065</v>
      </c>
      <c r="K147" s="17" t="s">
        <v>12</v>
      </c>
      <c r="L147" s="50" t="s">
        <v>84</v>
      </c>
      <c r="M147" s="51" t="s">
        <v>17</v>
      </c>
      <c r="N147" s="53" t="s">
        <v>922</v>
      </c>
      <c r="O147" s="53" t="s">
        <v>914</v>
      </c>
      <c r="P147" s="22">
        <v>0</v>
      </c>
      <c r="Q147" s="125" t="s">
        <v>919</v>
      </c>
      <c r="R147" s="17" t="s">
        <v>73</v>
      </c>
      <c r="S147" s="136" t="s">
        <v>84</v>
      </c>
      <c r="T147" s="83" t="s">
        <v>84</v>
      </c>
      <c r="U147" s="20">
        <v>45681</v>
      </c>
    </row>
    <row r="148" spans="1:21" ht="101.45" hidden="1">
      <c r="A148" s="25" t="s">
        <v>923</v>
      </c>
      <c r="B148" s="51" t="s">
        <v>72</v>
      </c>
      <c r="C148" s="50" t="s">
        <v>84</v>
      </c>
      <c r="D148" s="96">
        <v>45654</v>
      </c>
      <c r="E148" s="28" t="s">
        <v>911</v>
      </c>
      <c r="F148" s="17" t="s">
        <v>71</v>
      </c>
      <c r="G148" s="51" t="s">
        <v>70</v>
      </c>
      <c r="H148" s="125" t="s">
        <v>924</v>
      </c>
      <c r="I148" s="125" t="s">
        <v>87</v>
      </c>
      <c r="J148" s="125">
        <v>20242472</v>
      </c>
      <c r="K148" s="51" t="s">
        <v>12</v>
      </c>
      <c r="L148" s="50" t="s">
        <v>84</v>
      </c>
      <c r="M148" s="51" t="s">
        <v>17</v>
      </c>
      <c r="N148" s="125" t="s">
        <v>925</v>
      </c>
      <c r="O148" s="125" t="s">
        <v>926</v>
      </c>
      <c r="P148" s="22">
        <v>0</v>
      </c>
      <c r="Q148" s="125" t="s">
        <v>927</v>
      </c>
      <c r="R148" s="17" t="s">
        <v>73</v>
      </c>
      <c r="S148" s="136" t="s">
        <v>84</v>
      </c>
      <c r="T148" s="83" t="s">
        <v>84</v>
      </c>
      <c r="U148" s="20">
        <v>45679</v>
      </c>
    </row>
    <row r="149" spans="1:21" ht="188.45" hidden="1">
      <c r="A149" s="25" t="s">
        <v>928</v>
      </c>
      <c r="B149" s="51" t="s">
        <v>69</v>
      </c>
      <c r="C149" s="50" t="s">
        <v>84</v>
      </c>
      <c r="D149" s="96">
        <v>45743</v>
      </c>
      <c r="E149" s="28" t="s">
        <v>911</v>
      </c>
      <c r="F149" s="17" t="s">
        <v>71</v>
      </c>
      <c r="G149" s="51" t="s">
        <v>70</v>
      </c>
      <c r="H149" s="125" t="s">
        <v>929</v>
      </c>
      <c r="I149" s="125" t="s">
        <v>87</v>
      </c>
      <c r="J149" s="125">
        <v>20242363</v>
      </c>
      <c r="K149" s="51" t="s">
        <v>11</v>
      </c>
      <c r="L149" s="50" t="s">
        <v>84</v>
      </c>
      <c r="M149" s="51" t="s">
        <v>19</v>
      </c>
      <c r="N149" s="53" t="s">
        <v>930</v>
      </c>
      <c r="O149" s="53" t="s">
        <v>931</v>
      </c>
      <c r="P149" s="22">
        <v>0</v>
      </c>
      <c r="Q149" s="125" t="s">
        <v>932</v>
      </c>
      <c r="R149" s="17" t="s">
        <v>73</v>
      </c>
      <c r="S149" s="136" t="s">
        <v>84</v>
      </c>
      <c r="T149" s="83" t="s">
        <v>84</v>
      </c>
      <c r="U149" s="20">
        <v>45720</v>
      </c>
    </row>
    <row r="150" spans="1:21" ht="87" hidden="1">
      <c r="A150" s="25" t="s">
        <v>933</v>
      </c>
      <c r="B150" s="17" t="s">
        <v>72</v>
      </c>
      <c r="C150" s="50" t="s">
        <v>84</v>
      </c>
      <c r="D150" s="49">
        <v>45722</v>
      </c>
      <c r="E150" s="17" t="s">
        <v>862</v>
      </c>
      <c r="F150" s="54" t="s">
        <v>71</v>
      </c>
      <c r="G150" s="17" t="s">
        <v>70</v>
      </c>
      <c r="H150" s="50" t="s">
        <v>314</v>
      </c>
      <c r="I150" s="50" t="s">
        <v>820</v>
      </c>
      <c r="J150" s="25">
        <v>20242891</v>
      </c>
      <c r="K150" s="17" t="s">
        <v>9</v>
      </c>
      <c r="L150" s="50" t="s">
        <v>84</v>
      </c>
      <c r="M150" s="17" t="s">
        <v>20</v>
      </c>
      <c r="N150" s="24" t="s">
        <v>934</v>
      </c>
      <c r="O150" s="24" t="s">
        <v>935</v>
      </c>
      <c r="P150" s="26" t="s">
        <v>936</v>
      </c>
      <c r="Q150" s="25" t="s">
        <v>937</v>
      </c>
      <c r="R150" s="17" t="s">
        <v>73</v>
      </c>
      <c r="S150" s="23" t="s">
        <v>84</v>
      </c>
      <c r="T150" s="60" t="s">
        <v>84</v>
      </c>
      <c r="U150" s="47">
        <v>45852</v>
      </c>
    </row>
    <row r="151" spans="1:21" ht="203.1" hidden="1">
      <c r="A151" s="25" t="s">
        <v>938</v>
      </c>
      <c r="B151" s="17" t="s">
        <v>72</v>
      </c>
      <c r="C151" s="50" t="s">
        <v>84</v>
      </c>
      <c r="D151" s="49">
        <v>45681</v>
      </c>
      <c r="E151" s="54" t="s">
        <v>939</v>
      </c>
      <c r="F151" s="54" t="s">
        <v>71</v>
      </c>
      <c r="G151" s="17" t="s">
        <v>73</v>
      </c>
      <c r="H151" s="50" t="s">
        <v>940</v>
      </c>
      <c r="I151" s="50" t="s">
        <v>889</v>
      </c>
      <c r="J151" s="25">
        <v>20240368</v>
      </c>
      <c r="K151" s="17" t="s">
        <v>10</v>
      </c>
      <c r="L151" s="50" t="s">
        <v>84</v>
      </c>
      <c r="M151" s="17" t="s">
        <v>16</v>
      </c>
      <c r="N151" s="36" t="s">
        <v>941</v>
      </c>
      <c r="O151" s="24" t="s">
        <v>942</v>
      </c>
      <c r="P151" s="22">
        <v>0</v>
      </c>
      <c r="Q151" s="25" t="s">
        <v>943</v>
      </c>
      <c r="R151" s="17" t="s">
        <v>73</v>
      </c>
      <c r="S151" s="136" t="s">
        <v>84</v>
      </c>
      <c r="T151" s="83" t="s">
        <v>84</v>
      </c>
      <c r="U151" s="20" t="s">
        <v>944</v>
      </c>
    </row>
    <row r="152" spans="1:21" ht="108" hidden="1" customHeight="1">
      <c r="A152" s="25" t="s">
        <v>945</v>
      </c>
      <c r="B152" s="17" t="s">
        <v>72</v>
      </c>
      <c r="C152" s="50" t="s">
        <v>84</v>
      </c>
      <c r="D152" s="49">
        <v>45716</v>
      </c>
      <c r="E152" s="137" t="s">
        <v>911</v>
      </c>
      <c r="F152" s="54" t="s">
        <v>71</v>
      </c>
      <c r="G152" s="17" t="s">
        <v>70</v>
      </c>
      <c r="H152" s="50" t="s">
        <v>946</v>
      </c>
      <c r="I152" s="50" t="s">
        <v>87</v>
      </c>
      <c r="J152" s="25">
        <v>20243236</v>
      </c>
      <c r="K152" s="17" t="s">
        <v>11</v>
      </c>
      <c r="L152" s="50" t="s">
        <v>84</v>
      </c>
      <c r="M152" s="17" t="s">
        <v>21</v>
      </c>
      <c r="N152" s="36" t="s">
        <v>947</v>
      </c>
      <c r="O152" s="24" t="s">
        <v>948</v>
      </c>
      <c r="P152" s="22" t="s">
        <v>949</v>
      </c>
      <c r="Q152" s="25" t="s">
        <v>950</v>
      </c>
      <c r="R152" s="17" t="s">
        <v>73</v>
      </c>
      <c r="S152" s="23" t="s">
        <v>84</v>
      </c>
      <c r="T152" s="60" t="s">
        <v>84</v>
      </c>
      <c r="U152" s="20">
        <v>45719</v>
      </c>
    </row>
    <row r="153" spans="1:21" ht="188.45" hidden="1">
      <c r="A153" s="25" t="s">
        <v>951</v>
      </c>
      <c r="B153" s="17" t="s">
        <v>72</v>
      </c>
      <c r="C153" s="50" t="s">
        <v>84</v>
      </c>
      <c r="D153" s="49">
        <v>45750</v>
      </c>
      <c r="E153" s="54" t="s">
        <v>196</v>
      </c>
      <c r="F153" s="54" t="s">
        <v>71</v>
      </c>
      <c r="G153" s="17" t="s">
        <v>73</v>
      </c>
      <c r="H153" s="50" t="s">
        <v>952</v>
      </c>
      <c r="I153" s="50" t="s">
        <v>953</v>
      </c>
      <c r="J153" s="25">
        <v>20243126</v>
      </c>
      <c r="K153" s="17" t="s">
        <v>9</v>
      </c>
      <c r="L153" s="50" t="s">
        <v>84</v>
      </c>
      <c r="M153" s="17" t="s">
        <v>17</v>
      </c>
      <c r="N153" s="24" t="s">
        <v>954</v>
      </c>
      <c r="O153" s="21" t="s">
        <v>955</v>
      </c>
      <c r="P153" s="22" t="s">
        <v>84</v>
      </c>
      <c r="Q153" s="25" t="s">
        <v>956</v>
      </c>
      <c r="R153" s="17" t="s">
        <v>73</v>
      </c>
      <c r="S153" s="23" t="s">
        <v>84</v>
      </c>
      <c r="T153" s="60" t="s">
        <v>84</v>
      </c>
      <c r="U153" s="20">
        <v>45751</v>
      </c>
    </row>
    <row r="154" spans="1:21" ht="217.5" hidden="1">
      <c r="A154" s="25" t="s">
        <v>957</v>
      </c>
      <c r="B154" s="17" t="s">
        <v>69</v>
      </c>
      <c r="C154" s="50" t="s">
        <v>84</v>
      </c>
      <c r="D154" s="49">
        <v>45747</v>
      </c>
      <c r="E154" s="50" t="s">
        <v>104</v>
      </c>
      <c r="F154" s="54" t="s">
        <v>71</v>
      </c>
      <c r="G154" s="17" t="s">
        <v>70</v>
      </c>
      <c r="H154" s="50" t="s">
        <v>958</v>
      </c>
      <c r="I154" s="50" t="s">
        <v>959</v>
      </c>
      <c r="J154" s="50" t="s">
        <v>959</v>
      </c>
      <c r="K154" s="17" t="s">
        <v>9</v>
      </c>
      <c r="L154" s="50" t="s">
        <v>84</v>
      </c>
      <c r="M154" s="17" t="s">
        <v>19</v>
      </c>
      <c r="N154" s="24" t="s">
        <v>960</v>
      </c>
      <c r="O154" s="24" t="s">
        <v>961</v>
      </c>
      <c r="P154" s="22">
        <v>0</v>
      </c>
      <c r="Q154" s="25" t="s">
        <v>962</v>
      </c>
      <c r="R154" s="17" t="s">
        <v>70</v>
      </c>
      <c r="S154" s="102" t="s">
        <v>963</v>
      </c>
      <c r="T154" s="173" t="s">
        <v>964</v>
      </c>
      <c r="U154" s="20">
        <v>45777</v>
      </c>
    </row>
    <row r="155" spans="1:21" ht="72.599999999999994" hidden="1">
      <c r="A155" s="25" t="s">
        <v>965</v>
      </c>
      <c r="B155" s="17" t="s">
        <v>69</v>
      </c>
      <c r="C155" s="50" t="s">
        <v>84</v>
      </c>
      <c r="D155" s="49">
        <v>45750</v>
      </c>
      <c r="E155" s="54" t="s">
        <v>966</v>
      </c>
      <c r="F155" s="54" t="s">
        <v>71</v>
      </c>
      <c r="G155" s="17" t="s">
        <v>70</v>
      </c>
      <c r="H155" s="50" t="s">
        <v>967</v>
      </c>
      <c r="I155" s="50" t="s">
        <v>264</v>
      </c>
      <c r="J155" s="25">
        <v>20245448</v>
      </c>
      <c r="K155" s="17" t="s">
        <v>12</v>
      </c>
      <c r="L155" s="50" t="s">
        <v>84</v>
      </c>
      <c r="M155" s="17" t="s">
        <v>17</v>
      </c>
      <c r="N155" s="150" t="s">
        <v>968</v>
      </c>
      <c r="O155" s="24" t="s">
        <v>969</v>
      </c>
      <c r="P155" s="22" t="s">
        <v>84</v>
      </c>
      <c r="Q155" s="25" t="s">
        <v>970</v>
      </c>
      <c r="R155" s="17" t="s">
        <v>73</v>
      </c>
      <c r="S155" s="136" t="s">
        <v>84</v>
      </c>
      <c r="T155" s="83" t="s">
        <v>84</v>
      </c>
      <c r="U155" s="20">
        <v>45751</v>
      </c>
    </row>
    <row r="156" spans="1:21" ht="58.5" hidden="1" customHeight="1">
      <c r="A156" s="25" t="s">
        <v>971</v>
      </c>
      <c r="B156" s="17" t="s">
        <v>69</v>
      </c>
      <c r="C156" s="50" t="s">
        <v>84</v>
      </c>
      <c r="D156" s="20">
        <v>45600</v>
      </c>
      <c r="E156" s="17" t="s">
        <v>972</v>
      </c>
      <c r="F156" s="71" t="s">
        <v>71</v>
      </c>
      <c r="G156" s="17" t="s">
        <v>73</v>
      </c>
      <c r="H156" s="17" t="s">
        <v>973</v>
      </c>
      <c r="I156" s="17" t="s">
        <v>276</v>
      </c>
      <c r="J156" s="25" t="s">
        <v>276</v>
      </c>
      <c r="K156" s="17" t="s">
        <v>9</v>
      </c>
      <c r="L156" s="50" t="s">
        <v>84</v>
      </c>
      <c r="M156" s="17" t="s">
        <v>22</v>
      </c>
      <c r="N156" s="25" t="s">
        <v>974</v>
      </c>
      <c r="O156" s="17" t="s">
        <v>975</v>
      </c>
      <c r="P156" s="138">
        <v>6395.4</v>
      </c>
      <c r="Q156" s="25" t="s">
        <v>976</v>
      </c>
      <c r="R156" s="17" t="s">
        <v>73</v>
      </c>
      <c r="S156" s="23" t="s">
        <v>84</v>
      </c>
      <c r="T156" s="60" t="s">
        <v>84</v>
      </c>
      <c r="U156" s="20">
        <v>45755</v>
      </c>
    </row>
    <row r="157" spans="1:21" ht="55.5" hidden="1" customHeight="1">
      <c r="A157" s="29" t="s">
        <v>977</v>
      </c>
      <c r="B157" s="30" t="s">
        <v>72</v>
      </c>
      <c r="C157" s="50" t="s">
        <v>84</v>
      </c>
      <c r="D157" s="31">
        <v>45716</v>
      </c>
      <c r="E157" s="32" t="s">
        <v>911</v>
      </c>
      <c r="F157" s="33" t="s">
        <v>71</v>
      </c>
      <c r="G157" s="30" t="s">
        <v>70</v>
      </c>
      <c r="H157" s="33" t="s">
        <v>978</v>
      </c>
      <c r="I157" s="34" t="s">
        <v>87</v>
      </c>
      <c r="J157" s="29">
        <v>20243236</v>
      </c>
      <c r="K157" s="33" t="s">
        <v>11</v>
      </c>
      <c r="L157" s="50" t="s">
        <v>84</v>
      </c>
      <c r="M157" s="33" t="s">
        <v>21</v>
      </c>
      <c r="N157" s="35" t="s">
        <v>979</v>
      </c>
      <c r="O157" s="132" t="s">
        <v>980</v>
      </c>
      <c r="P157" s="139" t="s">
        <v>949</v>
      </c>
      <c r="Q157" s="29" t="s">
        <v>981</v>
      </c>
      <c r="R157" s="33" t="s">
        <v>73</v>
      </c>
      <c r="S157" s="48" t="s">
        <v>84</v>
      </c>
      <c r="T157" s="61" t="s">
        <v>84</v>
      </c>
      <c r="U157" s="31">
        <v>45719</v>
      </c>
    </row>
    <row r="158" spans="1:21" ht="43.5" hidden="1">
      <c r="A158" s="25" t="s">
        <v>982</v>
      </c>
      <c r="B158" s="17" t="s">
        <v>69</v>
      </c>
      <c r="C158" s="50" t="s">
        <v>84</v>
      </c>
      <c r="D158" s="49">
        <v>45734</v>
      </c>
      <c r="E158" s="28" t="s">
        <v>911</v>
      </c>
      <c r="F158" s="17" t="s">
        <v>71</v>
      </c>
      <c r="G158" s="17" t="s">
        <v>70</v>
      </c>
      <c r="H158" s="50" t="s">
        <v>189</v>
      </c>
      <c r="I158" s="50" t="s">
        <v>87</v>
      </c>
      <c r="J158" s="25">
        <v>20242509</v>
      </c>
      <c r="K158" s="17" t="s">
        <v>10</v>
      </c>
      <c r="L158" s="50" t="s">
        <v>84</v>
      </c>
      <c r="M158" s="17" t="s">
        <v>17</v>
      </c>
      <c r="N158" s="24" t="s">
        <v>983</v>
      </c>
      <c r="O158" s="27" t="s">
        <v>984</v>
      </c>
      <c r="P158" s="22">
        <v>0</v>
      </c>
      <c r="Q158" s="53" t="s">
        <v>915</v>
      </c>
      <c r="R158" s="17" t="s">
        <v>73</v>
      </c>
      <c r="S158" s="23" t="s">
        <v>84</v>
      </c>
      <c r="T158" s="60" t="s">
        <v>84</v>
      </c>
      <c r="U158" s="20">
        <v>45734</v>
      </c>
    </row>
    <row r="159" spans="1:21" ht="57.95" hidden="1">
      <c r="A159" s="25" t="s">
        <v>985</v>
      </c>
      <c r="B159" s="17" t="s">
        <v>72</v>
      </c>
      <c r="C159" s="50" t="s">
        <v>84</v>
      </c>
      <c r="D159" s="49">
        <v>45755</v>
      </c>
      <c r="E159" s="54" t="s">
        <v>165</v>
      </c>
      <c r="F159" s="54" t="s">
        <v>71</v>
      </c>
      <c r="G159" s="17" t="s">
        <v>70</v>
      </c>
      <c r="H159" s="50" t="s">
        <v>986</v>
      </c>
      <c r="I159" s="50" t="s">
        <v>87</v>
      </c>
      <c r="J159" s="25">
        <v>20250469</v>
      </c>
      <c r="K159" s="17" t="s">
        <v>9</v>
      </c>
      <c r="L159" s="50" t="s">
        <v>84</v>
      </c>
      <c r="M159" s="17" t="s">
        <v>17</v>
      </c>
      <c r="N159" s="24" t="s">
        <v>987</v>
      </c>
      <c r="O159" s="24" t="s">
        <v>988</v>
      </c>
      <c r="P159" s="22">
        <v>0</v>
      </c>
      <c r="Q159" s="25" t="s">
        <v>989</v>
      </c>
      <c r="R159" s="17" t="s">
        <v>73</v>
      </c>
      <c r="S159" s="136" t="s">
        <v>84</v>
      </c>
      <c r="T159" s="83" t="s">
        <v>84</v>
      </c>
      <c r="U159" s="20">
        <v>45757</v>
      </c>
    </row>
    <row r="160" spans="1:21" ht="116.1" hidden="1">
      <c r="A160" s="25" t="s">
        <v>990</v>
      </c>
      <c r="B160" s="17" t="s">
        <v>72</v>
      </c>
      <c r="C160" s="50" t="s">
        <v>84</v>
      </c>
      <c r="D160" s="49">
        <v>45757</v>
      </c>
      <c r="E160" s="54" t="s">
        <v>165</v>
      </c>
      <c r="F160" s="54" t="s">
        <v>71</v>
      </c>
      <c r="G160" s="17" t="s">
        <v>70</v>
      </c>
      <c r="H160" s="50" t="s">
        <v>603</v>
      </c>
      <c r="I160" s="50" t="s">
        <v>87</v>
      </c>
      <c r="J160" s="25">
        <v>20241409</v>
      </c>
      <c r="K160" s="17" t="s">
        <v>10</v>
      </c>
      <c r="L160" s="50" t="s">
        <v>84</v>
      </c>
      <c r="M160" s="17" t="s">
        <v>17</v>
      </c>
      <c r="N160" s="24" t="s">
        <v>991</v>
      </c>
      <c r="O160" s="24" t="s">
        <v>992</v>
      </c>
      <c r="P160" s="22">
        <v>0</v>
      </c>
      <c r="Q160" s="25" t="s">
        <v>993</v>
      </c>
      <c r="R160" s="17" t="s">
        <v>73</v>
      </c>
      <c r="S160" s="136" t="s">
        <v>84</v>
      </c>
      <c r="T160" s="83" t="s">
        <v>84</v>
      </c>
      <c r="U160" s="20">
        <v>45791</v>
      </c>
    </row>
    <row r="161" spans="1:21" ht="188.45" hidden="1">
      <c r="A161" s="25" t="s">
        <v>994</v>
      </c>
      <c r="B161" s="17" t="s">
        <v>72</v>
      </c>
      <c r="C161" s="50" t="s">
        <v>84</v>
      </c>
      <c r="D161" s="49">
        <v>45609</v>
      </c>
      <c r="E161" s="54" t="s">
        <v>995</v>
      </c>
      <c r="F161" s="54" t="s">
        <v>71</v>
      </c>
      <c r="G161" s="17" t="s">
        <v>73</v>
      </c>
      <c r="H161" s="50" t="s">
        <v>996</v>
      </c>
      <c r="I161" s="50" t="s">
        <v>207</v>
      </c>
      <c r="J161" s="25">
        <v>20242680</v>
      </c>
      <c r="K161" s="17" t="s">
        <v>10</v>
      </c>
      <c r="L161" s="50" t="s">
        <v>84</v>
      </c>
      <c r="M161" s="17" t="s">
        <v>19</v>
      </c>
      <c r="N161" s="36" t="s">
        <v>997</v>
      </c>
      <c r="O161" s="24" t="s">
        <v>998</v>
      </c>
      <c r="P161" s="22">
        <v>0</v>
      </c>
      <c r="Q161" s="25"/>
      <c r="R161" s="17"/>
      <c r="S161" s="23"/>
      <c r="T161" s="60"/>
      <c r="U161" s="20"/>
    </row>
    <row r="162" spans="1:21" ht="174" hidden="1">
      <c r="A162" s="25" t="s">
        <v>999</v>
      </c>
      <c r="B162" s="17" t="s">
        <v>72</v>
      </c>
      <c r="C162" s="50" t="s">
        <v>84</v>
      </c>
      <c r="D162" s="49">
        <v>45743</v>
      </c>
      <c r="E162" s="54" t="s">
        <v>370</v>
      </c>
      <c r="F162" s="54" t="s">
        <v>71</v>
      </c>
      <c r="G162" s="17" t="s">
        <v>73</v>
      </c>
      <c r="H162" s="50" t="s">
        <v>1000</v>
      </c>
      <c r="I162" s="50" t="s">
        <v>1001</v>
      </c>
      <c r="J162" s="25">
        <v>20243014</v>
      </c>
      <c r="K162" s="17" t="s">
        <v>9</v>
      </c>
      <c r="L162" s="50" t="s">
        <v>84</v>
      </c>
      <c r="M162" s="17" t="s">
        <v>14</v>
      </c>
      <c r="N162" s="24" t="s">
        <v>1002</v>
      </c>
      <c r="O162" s="24" t="s">
        <v>1003</v>
      </c>
      <c r="P162" s="26" t="s">
        <v>590</v>
      </c>
      <c r="Q162" s="25" t="s">
        <v>1004</v>
      </c>
      <c r="R162" s="17" t="s">
        <v>73</v>
      </c>
      <c r="S162" s="23" t="s">
        <v>84</v>
      </c>
      <c r="T162" s="60" t="s">
        <v>84</v>
      </c>
      <c r="U162" s="20">
        <v>45751</v>
      </c>
    </row>
    <row r="163" spans="1:21" ht="57.95" hidden="1">
      <c r="A163" s="25" t="s">
        <v>1005</v>
      </c>
      <c r="B163" s="17" t="s">
        <v>72</v>
      </c>
      <c r="C163" s="50" t="s">
        <v>84</v>
      </c>
      <c r="D163" s="49">
        <v>45762</v>
      </c>
      <c r="E163" s="54" t="s">
        <v>370</v>
      </c>
      <c r="F163" s="54" t="s">
        <v>71</v>
      </c>
      <c r="G163" s="17" t="s">
        <v>73</v>
      </c>
      <c r="H163" s="50" t="s">
        <v>996</v>
      </c>
      <c r="I163" s="50" t="s">
        <v>84</v>
      </c>
      <c r="J163" s="25" t="s">
        <v>84</v>
      </c>
      <c r="K163" s="17" t="s">
        <v>9</v>
      </c>
      <c r="L163" s="50" t="s">
        <v>84</v>
      </c>
      <c r="M163" s="17" t="s">
        <v>19</v>
      </c>
      <c r="N163" s="24" t="s">
        <v>1006</v>
      </c>
      <c r="O163" s="24" t="s">
        <v>1007</v>
      </c>
      <c r="P163" s="22" t="s">
        <v>590</v>
      </c>
      <c r="Q163" s="25" t="s">
        <v>84</v>
      </c>
      <c r="R163" s="17" t="s">
        <v>73</v>
      </c>
      <c r="S163" s="136" t="s">
        <v>84</v>
      </c>
      <c r="T163" s="83" t="s">
        <v>84</v>
      </c>
      <c r="U163" s="20">
        <v>45835</v>
      </c>
    </row>
    <row r="164" spans="1:21" ht="87" hidden="1">
      <c r="A164" s="25" t="s">
        <v>1008</v>
      </c>
      <c r="B164" s="17" t="s">
        <v>69</v>
      </c>
      <c r="C164" s="50" t="s">
        <v>84</v>
      </c>
      <c r="D164" s="49">
        <v>45770</v>
      </c>
      <c r="E164" s="54" t="s">
        <v>1009</v>
      </c>
      <c r="F164" s="54" t="s">
        <v>71</v>
      </c>
      <c r="G164" s="17" t="s">
        <v>73</v>
      </c>
      <c r="H164" s="50" t="s">
        <v>1010</v>
      </c>
      <c r="I164" s="50" t="s">
        <v>84</v>
      </c>
      <c r="J164" s="25" t="s">
        <v>84</v>
      </c>
      <c r="K164" s="17" t="s">
        <v>10</v>
      </c>
      <c r="L164" s="50" t="s">
        <v>84</v>
      </c>
      <c r="M164" s="17" t="s">
        <v>19</v>
      </c>
      <c r="N164" s="24" t="s">
        <v>1011</v>
      </c>
      <c r="O164" s="24" t="s">
        <v>1012</v>
      </c>
      <c r="P164" s="22" t="s">
        <v>590</v>
      </c>
      <c r="Q164" s="25" t="s">
        <v>1013</v>
      </c>
      <c r="R164" s="17" t="s">
        <v>73</v>
      </c>
      <c r="S164" s="23" t="s">
        <v>84</v>
      </c>
      <c r="T164" s="60" t="s">
        <v>84</v>
      </c>
      <c r="U164" s="20">
        <v>45777</v>
      </c>
    </row>
    <row r="165" spans="1:21" ht="231.95" hidden="1">
      <c r="A165" s="25" t="s">
        <v>1014</v>
      </c>
      <c r="B165" s="17" t="s">
        <v>69</v>
      </c>
      <c r="C165" s="50" t="s">
        <v>84</v>
      </c>
      <c r="D165" s="49">
        <v>45769</v>
      </c>
      <c r="E165" s="50" t="s">
        <v>104</v>
      </c>
      <c r="F165" s="54" t="s">
        <v>71</v>
      </c>
      <c r="G165" s="17" t="s">
        <v>70</v>
      </c>
      <c r="H165" s="50" t="s">
        <v>1015</v>
      </c>
      <c r="I165" s="50" t="s">
        <v>1016</v>
      </c>
      <c r="J165" s="25" t="s">
        <v>1017</v>
      </c>
      <c r="K165" s="17" t="s">
        <v>11</v>
      </c>
      <c r="L165" s="50" t="s">
        <v>84</v>
      </c>
      <c r="M165" s="17" t="s">
        <v>17</v>
      </c>
      <c r="N165" s="24" t="s">
        <v>1018</v>
      </c>
      <c r="O165" s="24" t="s">
        <v>1019</v>
      </c>
      <c r="P165" s="22">
        <v>0</v>
      </c>
      <c r="Q165" s="25" t="s">
        <v>1020</v>
      </c>
      <c r="R165" s="17" t="s">
        <v>73</v>
      </c>
      <c r="S165" s="23" t="s">
        <v>1021</v>
      </c>
      <c r="T165" s="60" t="s">
        <v>1021</v>
      </c>
      <c r="U165" s="20">
        <v>46029</v>
      </c>
    </row>
    <row r="166" spans="1:21" ht="168" hidden="1" customHeight="1">
      <c r="A166" s="25" t="s">
        <v>1022</v>
      </c>
      <c r="B166" s="17" t="s">
        <v>72</v>
      </c>
      <c r="C166" s="50" t="s">
        <v>84</v>
      </c>
      <c r="D166" s="49">
        <v>45772</v>
      </c>
      <c r="E166" s="54" t="s">
        <v>911</v>
      </c>
      <c r="F166" s="54" t="s">
        <v>71</v>
      </c>
      <c r="G166" s="17" t="s">
        <v>70</v>
      </c>
      <c r="H166" s="50" t="s">
        <v>1023</v>
      </c>
      <c r="I166" s="50" t="s">
        <v>87</v>
      </c>
      <c r="J166" s="25">
        <v>20242065</v>
      </c>
      <c r="K166" s="17" t="s">
        <v>11</v>
      </c>
      <c r="L166" s="50" t="s">
        <v>84</v>
      </c>
      <c r="M166" s="17" t="s">
        <v>20</v>
      </c>
      <c r="N166" s="36" t="s">
        <v>1024</v>
      </c>
      <c r="O166" s="140" t="s">
        <v>1025</v>
      </c>
      <c r="P166" s="22" t="s">
        <v>1026</v>
      </c>
      <c r="Q166" s="52" t="s">
        <v>1027</v>
      </c>
      <c r="R166" s="17" t="s">
        <v>73</v>
      </c>
      <c r="S166" s="23" t="s">
        <v>84</v>
      </c>
      <c r="T166" s="60" t="s">
        <v>84</v>
      </c>
      <c r="U166" s="20">
        <v>45849</v>
      </c>
    </row>
    <row r="167" spans="1:21" ht="174" hidden="1">
      <c r="A167" s="25" t="s">
        <v>1028</v>
      </c>
      <c r="B167" s="17" t="s">
        <v>69</v>
      </c>
      <c r="C167" s="50" t="s">
        <v>84</v>
      </c>
      <c r="D167" s="49">
        <v>45774</v>
      </c>
      <c r="E167" s="54" t="s">
        <v>1029</v>
      </c>
      <c r="F167" s="54" t="s">
        <v>71</v>
      </c>
      <c r="G167" s="17" t="s">
        <v>70</v>
      </c>
      <c r="H167" s="50" t="s">
        <v>1030</v>
      </c>
      <c r="I167" s="50" t="s">
        <v>611</v>
      </c>
      <c r="J167" s="25">
        <v>20240278</v>
      </c>
      <c r="K167" s="17" t="s">
        <v>12</v>
      </c>
      <c r="L167" s="50" t="s">
        <v>84</v>
      </c>
      <c r="M167" s="17" t="s">
        <v>17</v>
      </c>
      <c r="N167" s="104" t="s">
        <v>1031</v>
      </c>
      <c r="O167" s="104" t="s">
        <v>1032</v>
      </c>
      <c r="P167" s="22" t="s">
        <v>590</v>
      </c>
      <c r="Q167" s="52" t="s">
        <v>1033</v>
      </c>
      <c r="R167" s="17" t="s">
        <v>73</v>
      </c>
      <c r="S167" s="23" t="s">
        <v>84</v>
      </c>
      <c r="T167" s="60" t="s">
        <v>84</v>
      </c>
      <c r="U167" s="20">
        <v>45785</v>
      </c>
    </row>
    <row r="168" spans="1:21" ht="87" hidden="1">
      <c r="A168" s="25" t="s">
        <v>1034</v>
      </c>
      <c r="B168" s="17" t="s">
        <v>72</v>
      </c>
      <c r="C168" s="50" t="s">
        <v>84</v>
      </c>
      <c r="D168" s="49">
        <v>45790</v>
      </c>
      <c r="E168" s="54" t="s">
        <v>165</v>
      </c>
      <c r="F168" s="54" t="s">
        <v>71</v>
      </c>
      <c r="G168" s="17" t="s">
        <v>70</v>
      </c>
      <c r="H168" s="50" t="s">
        <v>1035</v>
      </c>
      <c r="I168" s="50" t="s">
        <v>87</v>
      </c>
      <c r="J168" s="25" t="s">
        <v>1036</v>
      </c>
      <c r="K168" s="17" t="s">
        <v>9</v>
      </c>
      <c r="L168" s="50" t="s">
        <v>84</v>
      </c>
      <c r="M168" s="17" t="s">
        <v>19</v>
      </c>
      <c r="N168" s="24" t="s">
        <v>1037</v>
      </c>
      <c r="O168" s="24" t="s">
        <v>1038</v>
      </c>
      <c r="P168" s="22">
        <v>0</v>
      </c>
      <c r="Q168" s="52" t="s">
        <v>1039</v>
      </c>
      <c r="R168" s="17" t="s">
        <v>73</v>
      </c>
      <c r="S168" s="136" t="s">
        <v>84</v>
      </c>
      <c r="T168" s="83" t="s">
        <v>84</v>
      </c>
      <c r="U168" s="20">
        <v>45791</v>
      </c>
    </row>
    <row r="169" spans="1:21" ht="144.94999999999999" hidden="1">
      <c r="A169" s="25" t="s">
        <v>1040</v>
      </c>
      <c r="B169" s="17" t="s">
        <v>69</v>
      </c>
      <c r="C169" s="50" t="s">
        <v>84</v>
      </c>
      <c r="D169" s="49">
        <v>45792</v>
      </c>
      <c r="E169" s="54" t="s">
        <v>165</v>
      </c>
      <c r="F169" s="54" t="s">
        <v>71</v>
      </c>
      <c r="G169" s="17" t="s">
        <v>70</v>
      </c>
      <c r="H169" s="50" t="s">
        <v>986</v>
      </c>
      <c r="I169" s="50" t="s">
        <v>87</v>
      </c>
      <c r="J169" s="25">
        <v>20241859</v>
      </c>
      <c r="K169" s="17" t="s">
        <v>11</v>
      </c>
      <c r="L169" s="50" t="s">
        <v>84</v>
      </c>
      <c r="M169" s="17" t="s">
        <v>16</v>
      </c>
      <c r="N169" s="24" t="s">
        <v>1041</v>
      </c>
      <c r="O169" s="24" t="s">
        <v>1042</v>
      </c>
      <c r="P169" s="22">
        <v>5702.86</v>
      </c>
      <c r="Q169" s="25" t="s">
        <v>1043</v>
      </c>
      <c r="R169" s="17" t="s">
        <v>73</v>
      </c>
      <c r="S169" s="136" t="s">
        <v>84</v>
      </c>
      <c r="T169" s="83" t="s">
        <v>84</v>
      </c>
      <c r="U169" s="20">
        <v>45818</v>
      </c>
    </row>
    <row r="170" spans="1:21" ht="87" hidden="1">
      <c r="A170" s="25" t="s">
        <v>1044</v>
      </c>
      <c r="B170" s="17" t="s">
        <v>76</v>
      </c>
      <c r="C170" s="50" t="s">
        <v>84</v>
      </c>
      <c r="D170" s="49">
        <v>45798</v>
      </c>
      <c r="E170" s="54" t="s">
        <v>370</v>
      </c>
      <c r="F170" s="54" t="s">
        <v>71</v>
      </c>
      <c r="G170" s="17" t="s">
        <v>73</v>
      </c>
      <c r="H170" s="50" t="s">
        <v>1045</v>
      </c>
      <c r="I170" s="50" t="s">
        <v>138</v>
      </c>
      <c r="J170" s="25">
        <v>20241402</v>
      </c>
      <c r="K170" s="17" t="s">
        <v>8</v>
      </c>
      <c r="L170" s="50" t="s">
        <v>84</v>
      </c>
      <c r="M170" s="17" t="s">
        <v>15</v>
      </c>
      <c r="N170" s="24" t="s">
        <v>1046</v>
      </c>
      <c r="O170" s="21" t="s">
        <v>84</v>
      </c>
      <c r="P170" s="22" t="s">
        <v>590</v>
      </c>
      <c r="Q170" s="25" t="s">
        <v>1047</v>
      </c>
      <c r="R170" s="17" t="s">
        <v>73</v>
      </c>
      <c r="S170" s="136" t="s">
        <v>84</v>
      </c>
      <c r="T170" s="83" t="s">
        <v>84</v>
      </c>
      <c r="U170" s="20">
        <v>45803</v>
      </c>
    </row>
    <row r="171" spans="1:21" ht="130.5" hidden="1">
      <c r="A171" s="25" t="s">
        <v>1048</v>
      </c>
      <c r="B171" s="17" t="s">
        <v>72</v>
      </c>
      <c r="C171" s="50" t="s">
        <v>84</v>
      </c>
      <c r="D171" s="49">
        <v>45170</v>
      </c>
      <c r="E171" s="54" t="s">
        <v>1049</v>
      </c>
      <c r="F171" s="54" t="s">
        <v>71</v>
      </c>
      <c r="G171" s="17" t="s">
        <v>73</v>
      </c>
      <c r="H171" s="50" t="s">
        <v>1050</v>
      </c>
      <c r="I171" s="50" t="s">
        <v>138</v>
      </c>
      <c r="J171" s="25">
        <v>20222336</v>
      </c>
      <c r="K171" s="17" t="s">
        <v>10</v>
      </c>
      <c r="L171" s="50" t="s">
        <v>84</v>
      </c>
      <c r="M171" s="17" t="s">
        <v>15</v>
      </c>
      <c r="N171" s="141" t="s">
        <v>1051</v>
      </c>
      <c r="O171" s="24" t="s">
        <v>1052</v>
      </c>
      <c r="P171" s="22" t="s">
        <v>1053</v>
      </c>
      <c r="Q171" s="25" t="s">
        <v>1054</v>
      </c>
      <c r="R171" s="17"/>
      <c r="S171" s="23"/>
      <c r="T171" s="60"/>
      <c r="U171" s="20">
        <v>45689</v>
      </c>
    </row>
    <row r="172" spans="1:21" ht="87" hidden="1">
      <c r="A172" s="25" t="s">
        <v>1055</v>
      </c>
      <c r="B172" s="17" t="s">
        <v>72</v>
      </c>
      <c r="C172" s="50" t="s">
        <v>84</v>
      </c>
      <c r="D172" s="49">
        <v>45139</v>
      </c>
      <c r="E172" s="54" t="s">
        <v>1049</v>
      </c>
      <c r="F172" s="54" t="s">
        <v>71</v>
      </c>
      <c r="G172" s="17" t="s">
        <v>73</v>
      </c>
      <c r="H172" s="50" t="s">
        <v>1050</v>
      </c>
      <c r="I172" s="50" t="s">
        <v>138</v>
      </c>
      <c r="J172" s="25" t="s">
        <v>1056</v>
      </c>
      <c r="K172" s="17" t="s">
        <v>10</v>
      </c>
      <c r="L172" s="50" t="s">
        <v>84</v>
      </c>
      <c r="M172" s="17" t="s">
        <v>15</v>
      </c>
      <c r="N172" s="24" t="s">
        <v>1057</v>
      </c>
      <c r="O172" s="24" t="s">
        <v>1058</v>
      </c>
      <c r="P172" s="22" t="s">
        <v>1059</v>
      </c>
      <c r="Q172" s="25" t="s">
        <v>1060</v>
      </c>
      <c r="R172" s="17"/>
      <c r="S172" s="23"/>
      <c r="T172" s="60"/>
      <c r="U172" s="20">
        <v>45473</v>
      </c>
    </row>
    <row r="173" spans="1:21" ht="130.5" hidden="1">
      <c r="A173" s="25" t="s">
        <v>1061</v>
      </c>
      <c r="B173" s="17" t="s">
        <v>76</v>
      </c>
      <c r="C173" s="50" t="s">
        <v>84</v>
      </c>
      <c r="D173" s="49">
        <v>45813</v>
      </c>
      <c r="E173" s="54" t="s">
        <v>853</v>
      </c>
      <c r="F173" s="54" t="s">
        <v>71</v>
      </c>
      <c r="G173" s="17" t="s">
        <v>73</v>
      </c>
      <c r="H173" s="50" t="s">
        <v>1062</v>
      </c>
      <c r="I173" s="50" t="s">
        <v>87</v>
      </c>
      <c r="J173" s="25">
        <v>20232582</v>
      </c>
      <c r="K173" s="17" t="s">
        <v>10</v>
      </c>
      <c r="L173" s="50" t="s">
        <v>84</v>
      </c>
      <c r="M173" s="17" t="s">
        <v>15</v>
      </c>
      <c r="N173" s="24" t="s">
        <v>1063</v>
      </c>
      <c r="O173" s="142" t="s">
        <v>1064</v>
      </c>
      <c r="P173" s="22" t="s">
        <v>519</v>
      </c>
      <c r="Q173" s="25" t="s">
        <v>1065</v>
      </c>
      <c r="R173" s="17" t="s">
        <v>73</v>
      </c>
      <c r="S173" s="23" t="s">
        <v>84</v>
      </c>
      <c r="T173" s="60" t="s">
        <v>84</v>
      </c>
      <c r="U173" s="20">
        <v>45883</v>
      </c>
    </row>
    <row r="174" spans="1:21" ht="29.1" hidden="1">
      <c r="A174" s="25" t="s">
        <v>1066</v>
      </c>
      <c r="B174" s="17" t="s">
        <v>72</v>
      </c>
      <c r="C174" s="50" t="s">
        <v>84</v>
      </c>
      <c r="D174" s="49">
        <v>45803</v>
      </c>
      <c r="E174" s="54" t="s">
        <v>188</v>
      </c>
      <c r="F174" s="54" t="s">
        <v>71</v>
      </c>
      <c r="G174" s="17" t="s">
        <v>70</v>
      </c>
      <c r="H174" s="50" t="s">
        <v>1067</v>
      </c>
      <c r="I174" s="50" t="s">
        <v>190</v>
      </c>
      <c r="J174" s="25" t="s">
        <v>1068</v>
      </c>
      <c r="K174" s="17" t="s">
        <v>11</v>
      </c>
      <c r="L174" s="50" t="s">
        <v>84</v>
      </c>
      <c r="M174" s="17" t="s">
        <v>16</v>
      </c>
      <c r="N174" s="24" t="s">
        <v>1069</v>
      </c>
      <c r="O174" s="21" t="s">
        <v>1070</v>
      </c>
      <c r="P174" s="22">
        <v>0</v>
      </c>
      <c r="Q174" s="52" t="s">
        <v>1071</v>
      </c>
      <c r="R174" s="17" t="s">
        <v>73</v>
      </c>
      <c r="S174" s="23" t="s">
        <v>84</v>
      </c>
      <c r="T174" s="60" t="s">
        <v>84</v>
      </c>
      <c r="U174" s="20">
        <v>45924</v>
      </c>
    </row>
    <row r="175" spans="1:21" ht="29.1" hidden="1">
      <c r="A175" s="25" t="s">
        <v>1072</v>
      </c>
      <c r="B175" s="17" t="s">
        <v>69</v>
      </c>
      <c r="C175" s="50" t="s">
        <v>84</v>
      </c>
      <c r="D175" s="49">
        <v>45859</v>
      </c>
      <c r="E175" s="54" t="s">
        <v>546</v>
      </c>
      <c r="F175" s="54" t="s">
        <v>71</v>
      </c>
      <c r="G175" s="17" t="s">
        <v>70</v>
      </c>
      <c r="H175" s="50" t="s">
        <v>1073</v>
      </c>
      <c r="I175" s="50" t="s">
        <v>1074</v>
      </c>
      <c r="J175" s="25">
        <v>20250621</v>
      </c>
      <c r="K175" s="17" t="s">
        <v>12</v>
      </c>
      <c r="L175" s="50" t="s">
        <v>84</v>
      </c>
      <c r="M175" s="17" t="s">
        <v>17</v>
      </c>
      <c r="N175" s="150" t="s">
        <v>1075</v>
      </c>
      <c r="O175" s="21" t="s">
        <v>1076</v>
      </c>
      <c r="P175" s="22">
        <v>0</v>
      </c>
      <c r="Q175" s="52" t="s">
        <v>1077</v>
      </c>
      <c r="R175" s="17" t="s">
        <v>73</v>
      </c>
      <c r="S175" s="23" t="s">
        <v>84</v>
      </c>
      <c r="T175" s="60" t="s">
        <v>84</v>
      </c>
      <c r="U175" s="20">
        <v>45860</v>
      </c>
    </row>
    <row r="176" spans="1:21" s="12" customFormat="1" ht="72.599999999999994" hidden="1">
      <c r="A176" s="25" t="s">
        <v>1078</v>
      </c>
      <c r="B176" s="17" t="s">
        <v>69</v>
      </c>
      <c r="C176" s="50" t="s">
        <v>84</v>
      </c>
      <c r="D176" s="17" t="s">
        <v>1079</v>
      </c>
      <c r="E176" s="17" t="s">
        <v>1080</v>
      </c>
      <c r="F176" s="17" t="s">
        <v>74</v>
      </c>
      <c r="G176" s="17" t="s">
        <v>70</v>
      </c>
      <c r="H176" s="17" t="s">
        <v>84</v>
      </c>
      <c r="I176" s="17" t="s">
        <v>84</v>
      </c>
      <c r="J176" s="25" t="s">
        <v>84</v>
      </c>
      <c r="K176" s="17" t="s">
        <v>9</v>
      </c>
      <c r="L176" s="50" t="s">
        <v>84</v>
      </c>
      <c r="M176" s="17" t="s">
        <v>1081</v>
      </c>
      <c r="N176" s="25" t="s">
        <v>1082</v>
      </c>
      <c r="O176" s="25" t="s">
        <v>1083</v>
      </c>
      <c r="P176" s="25" t="s">
        <v>1084</v>
      </c>
      <c r="Q176" s="25" t="s">
        <v>1085</v>
      </c>
      <c r="R176" s="17" t="s">
        <v>73</v>
      </c>
      <c r="S176" s="25" t="s">
        <v>1086</v>
      </c>
      <c r="T176" s="60" t="s">
        <v>1087</v>
      </c>
      <c r="U176" s="17" t="s">
        <v>1088</v>
      </c>
    </row>
    <row r="177" spans="1:21" s="12" customFormat="1" ht="43.5" hidden="1">
      <c r="A177" s="25" t="s">
        <v>1089</v>
      </c>
      <c r="B177" s="17" t="s">
        <v>69</v>
      </c>
      <c r="C177" s="50" t="s">
        <v>84</v>
      </c>
      <c r="D177" s="17" t="s">
        <v>1079</v>
      </c>
      <c r="E177" s="17" t="s">
        <v>1080</v>
      </c>
      <c r="F177" s="17" t="s">
        <v>74</v>
      </c>
      <c r="G177" s="17" t="s">
        <v>70</v>
      </c>
      <c r="H177" s="17" t="s">
        <v>84</v>
      </c>
      <c r="I177" s="17" t="s">
        <v>84</v>
      </c>
      <c r="J177" s="25" t="s">
        <v>84</v>
      </c>
      <c r="K177" s="17" t="s">
        <v>9</v>
      </c>
      <c r="L177" s="50" t="s">
        <v>84</v>
      </c>
      <c r="M177" s="17" t="s">
        <v>19</v>
      </c>
      <c r="N177" s="25" t="s">
        <v>1090</v>
      </c>
      <c r="O177" s="17" t="s">
        <v>1091</v>
      </c>
      <c r="P177" s="17" t="s">
        <v>590</v>
      </c>
      <c r="Q177" s="25" t="s">
        <v>1092</v>
      </c>
      <c r="R177" s="17" t="s">
        <v>73</v>
      </c>
      <c r="S177" s="25" t="s">
        <v>1093</v>
      </c>
      <c r="T177" s="60" t="s">
        <v>1087</v>
      </c>
      <c r="U177" s="17" t="s">
        <v>1088</v>
      </c>
    </row>
    <row r="178" spans="1:21" s="12" customFormat="1" ht="43.5" hidden="1">
      <c r="A178" s="25" t="s">
        <v>1094</v>
      </c>
      <c r="B178" s="17" t="s">
        <v>69</v>
      </c>
      <c r="C178" s="50" t="s">
        <v>84</v>
      </c>
      <c r="D178" s="17" t="s">
        <v>1095</v>
      </c>
      <c r="E178" s="17" t="s">
        <v>1080</v>
      </c>
      <c r="F178" s="17" t="s">
        <v>74</v>
      </c>
      <c r="G178" s="17" t="s">
        <v>70</v>
      </c>
      <c r="H178" s="17" t="s">
        <v>84</v>
      </c>
      <c r="I178" s="17" t="s">
        <v>84</v>
      </c>
      <c r="J178" s="25" t="s">
        <v>84</v>
      </c>
      <c r="K178" s="17" t="s">
        <v>9</v>
      </c>
      <c r="L178" s="50" t="s">
        <v>84</v>
      </c>
      <c r="M178" s="17" t="s">
        <v>1081</v>
      </c>
      <c r="N178" s="25" t="s">
        <v>1096</v>
      </c>
      <c r="O178" s="25" t="s">
        <v>1097</v>
      </c>
      <c r="P178" s="25" t="s">
        <v>1098</v>
      </c>
      <c r="Q178" s="25" t="s">
        <v>1099</v>
      </c>
      <c r="R178" s="17" t="s">
        <v>73</v>
      </c>
      <c r="S178" s="17" t="s">
        <v>1100</v>
      </c>
      <c r="T178" s="60" t="s">
        <v>1087</v>
      </c>
      <c r="U178" s="17" t="s">
        <v>1095</v>
      </c>
    </row>
    <row r="179" spans="1:21" s="12" customFormat="1" ht="43.5" hidden="1">
      <c r="A179" s="25" t="s">
        <v>1101</v>
      </c>
      <c r="B179" s="17" t="s">
        <v>69</v>
      </c>
      <c r="C179" s="50" t="s">
        <v>84</v>
      </c>
      <c r="D179" s="143" t="s">
        <v>1102</v>
      </c>
      <c r="E179" s="17" t="s">
        <v>1080</v>
      </c>
      <c r="F179" s="17" t="s">
        <v>74</v>
      </c>
      <c r="G179" s="17" t="s">
        <v>70</v>
      </c>
      <c r="H179" s="17" t="s">
        <v>84</v>
      </c>
      <c r="I179" s="17" t="s">
        <v>84</v>
      </c>
      <c r="J179" s="25" t="s">
        <v>84</v>
      </c>
      <c r="K179" s="17" t="s">
        <v>9</v>
      </c>
      <c r="L179" s="50" t="s">
        <v>84</v>
      </c>
      <c r="M179" s="17" t="s">
        <v>1081</v>
      </c>
      <c r="N179" s="126" t="s">
        <v>1103</v>
      </c>
      <c r="O179" s="25" t="s">
        <v>1104</v>
      </c>
      <c r="P179" s="25" t="s">
        <v>1098</v>
      </c>
      <c r="Q179" s="25" t="s">
        <v>1099</v>
      </c>
      <c r="R179" s="17" t="s">
        <v>73</v>
      </c>
      <c r="S179" s="17" t="s">
        <v>1100</v>
      </c>
      <c r="T179" s="60" t="s">
        <v>1087</v>
      </c>
      <c r="U179" s="17" t="s">
        <v>1105</v>
      </c>
    </row>
    <row r="180" spans="1:21" s="12" customFormat="1" ht="57.95" hidden="1">
      <c r="A180" s="25" t="s">
        <v>1106</v>
      </c>
      <c r="B180" s="17" t="s">
        <v>69</v>
      </c>
      <c r="C180" s="50" t="s">
        <v>84</v>
      </c>
      <c r="D180" s="17" t="s">
        <v>1107</v>
      </c>
      <c r="E180" s="17" t="s">
        <v>1080</v>
      </c>
      <c r="F180" s="17" t="s">
        <v>74</v>
      </c>
      <c r="G180" s="17" t="s">
        <v>73</v>
      </c>
      <c r="H180" s="25" t="s">
        <v>1108</v>
      </c>
      <c r="I180" s="17" t="s">
        <v>1109</v>
      </c>
      <c r="J180" s="144" t="s">
        <v>1110</v>
      </c>
      <c r="K180" s="17" t="s">
        <v>9</v>
      </c>
      <c r="L180" s="50" t="s">
        <v>84</v>
      </c>
      <c r="M180" s="25" t="s">
        <v>20</v>
      </c>
      <c r="N180" s="25" t="s">
        <v>1111</v>
      </c>
      <c r="O180" s="25" t="s">
        <v>1112</v>
      </c>
      <c r="P180" s="25" t="s">
        <v>1113</v>
      </c>
      <c r="Q180" s="25" t="s">
        <v>1114</v>
      </c>
      <c r="R180" s="17" t="s">
        <v>73</v>
      </c>
      <c r="S180" s="17" t="s">
        <v>1100</v>
      </c>
      <c r="T180" s="60" t="s">
        <v>1087</v>
      </c>
      <c r="U180" s="17" t="s">
        <v>1107</v>
      </c>
    </row>
    <row r="181" spans="1:21" s="12" customFormat="1" ht="72.599999999999994" hidden="1">
      <c r="A181" s="25" t="s">
        <v>1115</v>
      </c>
      <c r="B181" s="17" t="s">
        <v>69</v>
      </c>
      <c r="C181" s="50" t="s">
        <v>84</v>
      </c>
      <c r="D181" s="17" t="s">
        <v>1116</v>
      </c>
      <c r="E181" s="17" t="s">
        <v>1080</v>
      </c>
      <c r="F181" s="17" t="s">
        <v>74</v>
      </c>
      <c r="G181" s="17" t="s">
        <v>70</v>
      </c>
      <c r="H181" s="17" t="s">
        <v>84</v>
      </c>
      <c r="I181" s="17" t="s">
        <v>84</v>
      </c>
      <c r="J181" s="25" t="s">
        <v>84</v>
      </c>
      <c r="K181" s="17" t="s">
        <v>9</v>
      </c>
      <c r="L181" s="50" t="s">
        <v>84</v>
      </c>
      <c r="M181" s="17" t="s">
        <v>19</v>
      </c>
      <c r="N181" s="25" t="s">
        <v>1117</v>
      </c>
      <c r="O181" s="17" t="s">
        <v>1118</v>
      </c>
      <c r="P181" s="25" t="s">
        <v>1119</v>
      </c>
      <c r="Q181" s="25" t="s">
        <v>1099</v>
      </c>
      <c r="R181" s="17" t="s">
        <v>73</v>
      </c>
      <c r="S181" s="17" t="s">
        <v>1100</v>
      </c>
      <c r="T181" s="60" t="s">
        <v>1087</v>
      </c>
      <c r="U181" s="17" t="s">
        <v>1120</v>
      </c>
    </row>
    <row r="182" spans="1:21" s="12" customFormat="1" ht="57.95" hidden="1">
      <c r="A182" s="25" t="s">
        <v>1121</v>
      </c>
      <c r="B182" s="17" t="s">
        <v>69</v>
      </c>
      <c r="C182" s="50" t="s">
        <v>84</v>
      </c>
      <c r="D182" s="17" t="s">
        <v>1116</v>
      </c>
      <c r="E182" s="17" t="s">
        <v>1080</v>
      </c>
      <c r="F182" s="17" t="s">
        <v>74</v>
      </c>
      <c r="G182" s="17" t="s">
        <v>70</v>
      </c>
      <c r="H182" s="17" t="s">
        <v>84</v>
      </c>
      <c r="I182" s="17" t="s">
        <v>84</v>
      </c>
      <c r="J182" s="25" t="s">
        <v>84</v>
      </c>
      <c r="K182" s="17" t="s">
        <v>9</v>
      </c>
      <c r="L182" s="50" t="s">
        <v>84</v>
      </c>
      <c r="M182" s="17" t="s">
        <v>19</v>
      </c>
      <c r="N182" s="25" t="s">
        <v>1122</v>
      </c>
      <c r="O182" s="17" t="s">
        <v>1123</v>
      </c>
      <c r="P182" s="25" t="s">
        <v>1124</v>
      </c>
      <c r="Q182" s="25" t="s">
        <v>1099</v>
      </c>
      <c r="R182" s="17" t="s">
        <v>73</v>
      </c>
      <c r="S182" s="17" t="s">
        <v>1100</v>
      </c>
      <c r="T182" s="60" t="s">
        <v>1087</v>
      </c>
      <c r="U182" s="17" t="s">
        <v>1116</v>
      </c>
    </row>
    <row r="183" spans="1:21" s="12" customFormat="1" ht="29.1" hidden="1">
      <c r="A183" s="25" t="s">
        <v>1125</v>
      </c>
      <c r="B183" s="17" t="s">
        <v>69</v>
      </c>
      <c r="C183" s="50" t="s">
        <v>84</v>
      </c>
      <c r="D183" s="17" t="s">
        <v>1126</v>
      </c>
      <c r="E183" s="17" t="s">
        <v>1080</v>
      </c>
      <c r="F183" s="17" t="s">
        <v>74</v>
      </c>
      <c r="G183" s="17" t="s">
        <v>70</v>
      </c>
      <c r="H183" s="17" t="s">
        <v>84</v>
      </c>
      <c r="I183" s="17" t="s">
        <v>84</v>
      </c>
      <c r="J183" s="25" t="s">
        <v>84</v>
      </c>
      <c r="K183" s="17" t="s">
        <v>9</v>
      </c>
      <c r="L183" s="50" t="s">
        <v>84</v>
      </c>
      <c r="M183" s="17" t="s">
        <v>19</v>
      </c>
      <c r="N183" s="25" t="s">
        <v>1127</v>
      </c>
      <c r="O183" s="25" t="s">
        <v>1128</v>
      </c>
      <c r="P183" s="17" t="s">
        <v>590</v>
      </c>
      <c r="Q183" s="25" t="s">
        <v>1099</v>
      </c>
      <c r="R183" s="17" t="s">
        <v>73</v>
      </c>
      <c r="S183" s="17" t="s">
        <v>1100</v>
      </c>
      <c r="T183" s="60" t="s">
        <v>1087</v>
      </c>
      <c r="U183" s="17" t="s">
        <v>1120</v>
      </c>
    </row>
    <row r="184" spans="1:21" s="12" customFormat="1" ht="101.45" hidden="1">
      <c r="A184" s="25" t="s">
        <v>1129</v>
      </c>
      <c r="B184" s="17" t="s">
        <v>69</v>
      </c>
      <c r="C184" s="50" t="s">
        <v>84</v>
      </c>
      <c r="D184" s="17" t="s">
        <v>1130</v>
      </c>
      <c r="E184" s="17" t="s">
        <v>1080</v>
      </c>
      <c r="F184" s="17" t="s">
        <v>74</v>
      </c>
      <c r="G184" s="17" t="s">
        <v>70</v>
      </c>
      <c r="H184" s="17" t="s">
        <v>84</v>
      </c>
      <c r="I184" s="17" t="s">
        <v>84</v>
      </c>
      <c r="J184" s="25" t="s">
        <v>84</v>
      </c>
      <c r="K184" s="17" t="s">
        <v>9</v>
      </c>
      <c r="L184" s="50" t="s">
        <v>84</v>
      </c>
      <c r="M184" s="17" t="s">
        <v>21</v>
      </c>
      <c r="N184" s="25" t="s">
        <v>1131</v>
      </c>
      <c r="O184" s="25" t="s">
        <v>1132</v>
      </c>
      <c r="P184" s="17" t="s">
        <v>1133</v>
      </c>
      <c r="Q184" s="25" t="s">
        <v>1134</v>
      </c>
      <c r="R184" s="17" t="s">
        <v>73</v>
      </c>
      <c r="S184" s="17" t="s">
        <v>1100</v>
      </c>
      <c r="T184" s="60" t="s">
        <v>1087</v>
      </c>
      <c r="U184" s="17" t="s">
        <v>1126</v>
      </c>
    </row>
    <row r="185" spans="1:21" s="12" customFormat="1" ht="87.6" hidden="1">
      <c r="A185" s="25" t="s">
        <v>1135</v>
      </c>
      <c r="B185" s="17" t="s">
        <v>69</v>
      </c>
      <c r="C185" s="50" t="s">
        <v>84</v>
      </c>
      <c r="D185" s="17" t="s">
        <v>1136</v>
      </c>
      <c r="E185" s="17" t="s">
        <v>1080</v>
      </c>
      <c r="F185" s="17" t="s">
        <v>74</v>
      </c>
      <c r="G185" s="17" t="s">
        <v>70</v>
      </c>
      <c r="H185" s="17" t="s">
        <v>84</v>
      </c>
      <c r="I185" s="17" t="s">
        <v>84</v>
      </c>
      <c r="J185" s="25" t="s">
        <v>84</v>
      </c>
      <c r="K185" s="17" t="s">
        <v>9</v>
      </c>
      <c r="L185" s="50" t="s">
        <v>84</v>
      </c>
      <c r="M185" s="17" t="s">
        <v>19</v>
      </c>
      <c r="N185" s="25" t="s">
        <v>1137</v>
      </c>
      <c r="O185" s="17" t="s">
        <v>1138</v>
      </c>
      <c r="P185" s="17" t="s">
        <v>1087</v>
      </c>
      <c r="Q185" s="145" t="s">
        <v>1139</v>
      </c>
      <c r="R185" s="17" t="s">
        <v>73</v>
      </c>
      <c r="S185" s="17" t="s">
        <v>1100</v>
      </c>
      <c r="T185" s="60" t="s">
        <v>1087</v>
      </c>
      <c r="U185" s="17" t="s">
        <v>1140</v>
      </c>
    </row>
    <row r="186" spans="1:21" s="12" customFormat="1" ht="159.6" hidden="1">
      <c r="A186" s="25" t="s">
        <v>1141</v>
      </c>
      <c r="B186" s="17" t="s">
        <v>69</v>
      </c>
      <c r="C186" s="50" t="s">
        <v>84</v>
      </c>
      <c r="D186" s="49" t="s">
        <v>1142</v>
      </c>
      <c r="E186" s="17" t="s">
        <v>1080</v>
      </c>
      <c r="F186" s="17" t="s">
        <v>74</v>
      </c>
      <c r="G186" s="17" t="s">
        <v>70</v>
      </c>
      <c r="H186" s="17" t="s">
        <v>84</v>
      </c>
      <c r="I186" s="17" t="s">
        <v>84</v>
      </c>
      <c r="J186" s="25" t="s">
        <v>84</v>
      </c>
      <c r="K186" s="17" t="s">
        <v>9</v>
      </c>
      <c r="L186" s="50" t="s">
        <v>84</v>
      </c>
      <c r="M186" s="17" t="s">
        <v>19</v>
      </c>
      <c r="N186" s="25" t="s">
        <v>1143</v>
      </c>
      <c r="O186" s="25" t="s">
        <v>1144</v>
      </c>
      <c r="P186" s="22" t="s">
        <v>1087</v>
      </c>
      <c r="Q186" s="25" t="s">
        <v>1145</v>
      </c>
      <c r="R186" s="17" t="s">
        <v>73</v>
      </c>
      <c r="S186" s="17" t="s">
        <v>1100</v>
      </c>
      <c r="T186" s="60" t="s">
        <v>1087</v>
      </c>
      <c r="U186" s="20" t="s">
        <v>1146</v>
      </c>
    </row>
    <row r="187" spans="1:21" ht="57.95" hidden="1">
      <c r="A187" s="25" t="s">
        <v>1147</v>
      </c>
      <c r="B187" s="17" t="s">
        <v>69</v>
      </c>
      <c r="C187" s="50" t="s">
        <v>84</v>
      </c>
      <c r="D187" s="49" t="s">
        <v>1148</v>
      </c>
      <c r="E187" s="17" t="s">
        <v>1080</v>
      </c>
      <c r="F187" s="17" t="s">
        <v>74</v>
      </c>
      <c r="G187" s="17" t="s">
        <v>70</v>
      </c>
      <c r="H187" s="50" t="s">
        <v>1149</v>
      </c>
      <c r="I187" s="50" t="s">
        <v>1150</v>
      </c>
      <c r="J187" s="25">
        <v>20243045</v>
      </c>
      <c r="K187" s="17" t="s">
        <v>10</v>
      </c>
      <c r="L187" s="50" t="s">
        <v>84</v>
      </c>
      <c r="M187" s="17" t="s">
        <v>20</v>
      </c>
      <c r="N187" s="24" t="s">
        <v>1151</v>
      </c>
      <c r="O187" s="21" t="s">
        <v>1152</v>
      </c>
      <c r="P187" s="22" t="s">
        <v>1087</v>
      </c>
      <c r="Q187" s="25" t="s">
        <v>1153</v>
      </c>
      <c r="R187" s="17" t="s">
        <v>73</v>
      </c>
      <c r="S187" s="23"/>
      <c r="T187" s="60"/>
      <c r="U187" s="20"/>
    </row>
    <row r="188" spans="1:21" ht="159.6" hidden="1">
      <c r="A188" s="25" t="s">
        <v>1154</v>
      </c>
      <c r="B188" s="17" t="s">
        <v>72</v>
      </c>
      <c r="C188" s="50" t="s">
        <v>84</v>
      </c>
      <c r="D188" s="49" t="s">
        <v>1155</v>
      </c>
      <c r="E188" s="54" t="s">
        <v>1156</v>
      </c>
      <c r="F188" s="54" t="s">
        <v>71</v>
      </c>
      <c r="G188" s="17" t="s">
        <v>70</v>
      </c>
      <c r="H188" s="50" t="s">
        <v>1157</v>
      </c>
      <c r="I188" s="50" t="s">
        <v>264</v>
      </c>
      <c r="J188" s="25" t="s">
        <v>1158</v>
      </c>
      <c r="K188" s="17" t="s">
        <v>1157</v>
      </c>
      <c r="L188" s="50" t="s">
        <v>84</v>
      </c>
      <c r="M188" s="17" t="s">
        <v>19</v>
      </c>
      <c r="N188" s="24" t="s">
        <v>1159</v>
      </c>
      <c r="O188" s="52" t="s">
        <v>1160</v>
      </c>
      <c r="P188" s="22" t="s">
        <v>1087</v>
      </c>
      <c r="Q188" s="52" t="s">
        <v>1161</v>
      </c>
      <c r="R188" s="17" t="s">
        <v>70</v>
      </c>
      <c r="S188" s="116" t="s">
        <v>1162</v>
      </c>
      <c r="T188" s="117" t="s">
        <v>1163</v>
      </c>
      <c r="U188" s="20">
        <v>45898</v>
      </c>
    </row>
    <row r="189" spans="1:21" ht="29.1" hidden="1">
      <c r="A189" s="25" t="s">
        <v>1164</v>
      </c>
      <c r="B189" s="17" t="s">
        <v>69</v>
      </c>
      <c r="C189" s="50" t="s">
        <v>84</v>
      </c>
      <c r="D189" s="49" t="s">
        <v>1165</v>
      </c>
      <c r="E189" s="54" t="s">
        <v>1156</v>
      </c>
      <c r="F189" s="54" t="s">
        <v>71</v>
      </c>
      <c r="G189" s="17" t="s">
        <v>73</v>
      </c>
      <c r="H189" s="50" t="s">
        <v>1157</v>
      </c>
      <c r="I189" s="50" t="s">
        <v>264</v>
      </c>
      <c r="J189" s="25" t="s">
        <v>1166</v>
      </c>
      <c r="K189" s="17" t="s">
        <v>11</v>
      </c>
      <c r="L189" s="50" t="s">
        <v>84</v>
      </c>
      <c r="M189" s="17" t="s">
        <v>19</v>
      </c>
      <c r="N189" s="24" t="s">
        <v>1167</v>
      </c>
      <c r="O189" s="24" t="s">
        <v>1168</v>
      </c>
      <c r="P189" s="22" t="s">
        <v>1087</v>
      </c>
      <c r="Q189" s="25" t="s">
        <v>1169</v>
      </c>
      <c r="R189" s="17" t="s">
        <v>70</v>
      </c>
      <c r="S189" s="23" t="s">
        <v>1170</v>
      </c>
      <c r="T189" s="60" t="s">
        <v>1171</v>
      </c>
      <c r="U189" s="20" t="s">
        <v>1172</v>
      </c>
    </row>
    <row r="190" spans="1:21" ht="87" hidden="1">
      <c r="A190" s="25" t="s">
        <v>1173</v>
      </c>
      <c r="B190" s="17" t="s">
        <v>69</v>
      </c>
      <c r="C190" s="50" t="s">
        <v>84</v>
      </c>
      <c r="D190" s="49">
        <v>45912</v>
      </c>
      <c r="E190" s="54" t="s">
        <v>165</v>
      </c>
      <c r="F190" s="54" t="s">
        <v>71</v>
      </c>
      <c r="G190" s="17" t="s">
        <v>70</v>
      </c>
      <c r="H190" s="50" t="s">
        <v>603</v>
      </c>
      <c r="I190" s="50" t="s">
        <v>87</v>
      </c>
      <c r="J190" s="25">
        <v>20251792</v>
      </c>
      <c r="K190" s="17" t="s">
        <v>10</v>
      </c>
      <c r="L190" s="50" t="s">
        <v>84</v>
      </c>
      <c r="M190" s="17" t="s">
        <v>19</v>
      </c>
      <c r="N190" s="24" t="s">
        <v>1174</v>
      </c>
      <c r="O190" s="24" t="s">
        <v>1175</v>
      </c>
      <c r="P190" s="22">
        <v>0</v>
      </c>
      <c r="Q190" s="25" t="s">
        <v>1176</v>
      </c>
      <c r="R190" s="17" t="s">
        <v>73</v>
      </c>
      <c r="S190" s="23" t="s">
        <v>84</v>
      </c>
      <c r="T190" s="60" t="s">
        <v>84</v>
      </c>
      <c r="U190" s="20">
        <v>45916</v>
      </c>
    </row>
    <row r="191" spans="1:21" ht="57.95" hidden="1">
      <c r="A191" s="25" t="s">
        <v>1177</v>
      </c>
      <c r="B191" s="17" t="s">
        <v>72</v>
      </c>
      <c r="C191" s="50" t="s">
        <v>84</v>
      </c>
      <c r="D191" s="49">
        <v>45918</v>
      </c>
      <c r="E191" s="54" t="s">
        <v>337</v>
      </c>
      <c r="F191" s="54" t="s">
        <v>71</v>
      </c>
      <c r="G191" s="17" t="s">
        <v>73</v>
      </c>
      <c r="H191" s="50" t="s">
        <v>1178</v>
      </c>
      <c r="I191" s="50" t="s">
        <v>87</v>
      </c>
      <c r="J191" s="25">
        <v>20240820</v>
      </c>
      <c r="K191" s="17" t="s">
        <v>10</v>
      </c>
      <c r="L191" s="50" t="s">
        <v>84</v>
      </c>
      <c r="M191" s="17" t="s">
        <v>19</v>
      </c>
      <c r="N191" s="24" t="s">
        <v>1179</v>
      </c>
      <c r="O191" s="21" t="s">
        <v>1180</v>
      </c>
      <c r="P191" s="22" t="s">
        <v>1181</v>
      </c>
      <c r="Q191" s="25" t="s">
        <v>1182</v>
      </c>
      <c r="R191" s="17" t="s">
        <v>73</v>
      </c>
      <c r="S191" s="23" t="s">
        <v>84</v>
      </c>
      <c r="T191" s="60" t="s">
        <v>84</v>
      </c>
      <c r="U191" s="20" t="s">
        <v>1181</v>
      </c>
    </row>
    <row r="192" spans="1:21" ht="72.599999999999994" hidden="1">
      <c r="A192" s="25" t="s">
        <v>1183</v>
      </c>
      <c r="B192" s="17" t="s">
        <v>72</v>
      </c>
      <c r="C192" s="50" t="s">
        <v>84</v>
      </c>
      <c r="D192" s="49">
        <v>45883</v>
      </c>
      <c r="E192" s="54" t="s">
        <v>862</v>
      </c>
      <c r="F192" s="54" t="s">
        <v>71</v>
      </c>
      <c r="G192" s="17" t="s">
        <v>70</v>
      </c>
      <c r="H192" s="50" t="s">
        <v>1157</v>
      </c>
      <c r="I192" s="50" t="s">
        <v>87</v>
      </c>
      <c r="J192" s="25">
        <v>20251872</v>
      </c>
      <c r="K192" s="17" t="s">
        <v>11</v>
      </c>
      <c r="L192" s="50" t="s">
        <v>84</v>
      </c>
      <c r="M192" s="17" t="s">
        <v>19</v>
      </c>
      <c r="N192" s="24" t="s">
        <v>1184</v>
      </c>
      <c r="O192" s="24" t="s">
        <v>1185</v>
      </c>
      <c r="P192" s="22">
        <v>400</v>
      </c>
      <c r="Q192" s="25" t="s">
        <v>1186</v>
      </c>
      <c r="R192" s="17" t="s">
        <v>73</v>
      </c>
      <c r="S192" s="23" t="s">
        <v>84</v>
      </c>
      <c r="T192" s="60" t="s">
        <v>84</v>
      </c>
      <c r="U192" s="20">
        <v>45937</v>
      </c>
    </row>
    <row r="193" spans="1:21" ht="43.5" hidden="1">
      <c r="A193" s="25" t="s">
        <v>1187</v>
      </c>
      <c r="B193" s="17" t="s">
        <v>69</v>
      </c>
      <c r="C193" s="50" t="s">
        <v>84</v>
      </c>
      <c r="D193" s="49">
        <v>45925</v>
      </c>
      <c r="E193" s="54" t="s">
        <v>1188</v>
      </c>
      <c r="F193" s="54" t="s">
        <v>71</v>
      </c>
      <c r="G193" s="17" t="s">
        <v>70</v>
      </c>
      <c r="H193" s="50" t="s">
        <v>1189</v>
      </c>
      <c r="I193" s="50" t="s">
        <v>1190</v>
      </c>
      <c r="J193" s="25">
        <v>20251522</v>
      </c>
      <c r="K193" s="17" t="s">
        <v>12</v>
      </c>
      <c r="L193" s="50" t="s">
        <v>84</v>
      </c>
      <c r="M193" s="17" t="s">
        <v>17</v>
      </c>
      <c r="N193" s="24" t="s">
        <v>1191</v>
      </c>
      <c r="O193" s="21" t="s">
        <v>1192</v>
      </c>
      <c r="P193" s="22" t="s">
        <v>590</v>
      </c>
      <c r="Q193" s="52" t="s">
        <v>1193</v>
      </c>
      <c r="R193" s="17" t="s">
        <v>73</v>
      </c>
      <c r="S193" s="23" t="s">
        <v>84</v>
      </c>
      <c r="T193" s="60" t="s">
        <v>84</v>
      </c>
      <c r="U193" s="20">
        <v>45926</v>
      </c>
    </row>
    <row r="194" spans="1:21" ht="43.5" hidden="1">
      <c r="A194" s="25" t="s">
        <v>1194</v>
      </c>
      <c r="B194" s="17" t="s">
        <v>69</v>
      </c>
      <c r="C194" s="50" t="s">
        <v>84</v>
      </c>
      <c r="D194" s="49">
        <v>45909</v>
      </c>
      <c r="E194" s="54" t="s">
        <v>1188</v>
      </c>
      <c r="F194" s="54" t="s">
        <v>71</v>
      </c>
      <c r="G194" s="17" t="s">
        <v>70</v>
      </c>
      <c r="H194" s="50" t="s">
        <v>1195</v>
      </c>
      <c r="I194" s="50" t="s">
        <v>1190</v>
      </c>
      <c r="J194" s="25">
        <v>20251152</v>
      </c>
      <c r="K194" s="17" t="s">
        <v>10</v>
      </c>
      <c r="L194" s="50" t="s">
        <v>84</v>
      </c>
      <c r="M194" s="17" t="s">
        <v>17</v>
      </c>
      <c r="N194" s="24" t="s">
        <v>1196</v>
      </c>
      <c r="O194" s="21" t="s">
        <v>1197</v>
      </c>
      <c r="P194" s="22" t="s">
        <v>590</v>
      </c>
      <c r="Q194" s="25" t="s">
        <v>1198</v>
      </c>
      <c r="R194" s="17" t="s">
        <v>73</v>
      </c>
      <c r="S194" s="23" t="s">
        <v>84</v>
      </c>
      <c r="T194" s="60" t="s">
        <v>84</v>
      </c>
      <c r="U194" s="20">
        <v>45926</v>
      </c>
    </row>
    <row r="195" spans="1:21" ht="72.599999999999994" hidden="1">
      <c r="A195" s="25" t="s">
        <v>1199</v>
      </c>
      <c r="B195" s="17" t="s">
        <v>72</v>
      </c>
      <c r="C195" s="50" t="s">
        <v>84</v>
      </c>
      <c r="D195" s="49">
        <v>45936</v>
      </c>
      <c r="E195" s="54" t="s">
        <v>165</v>
      </c>
      <c r="F195" s="54" t="s">
        <v>71</v>
      </c>
      <c r="G195" s="17" t="s">
        <v>70</v>
      </c>
      <c r="H195" s="50" t="s">
        <v>1200</v>
      </c>
      <c r="I195" s="50" t="s">
        <v>264</v>
      </c>
      <c r="J195" s="25">
        <v>20252275</v>
      </c>
      <c r="K195" s="17" t="s">
        <v>11</v>
      </c>
      <c r="L195" s="50" t="s">
        <v>84</v>
      </c>
      <c r="M195" s="17" t="s">
        <v>16</v>
      </c>
      <c r="N195" s="24" t="s">
        <v>1201</v>
      </c>
      <c r="O195" s="24" t="s">
        <v>1202</v>
      </c>
      <c r="P195" s="22">
        <v>0</v>
      </c>
      <c r="Q195" s="146" t="s">
        <v>1203</v>
      </c>
      <c r="R195" s="17" t="s">
        <v>73</v>
      </c>
      <c r="S195" s="23" t="s">
        <v>84</v>
      </c>
      <c r="T195" s="60" t="s">
        <v>84</v>
      </c>
      <c r="U195" s="20">
        <v>45942</v>
      </c>
    </row>
    <row r="196" spans="1:21" ht="261" hidden="1">
      <c r="A196" s="25" t="s">
        <v>1204</v>
      </c>
      <c r="B196" s="17" t="s">
        <v>72</v>
      </c>
      <c r="C196" s="50" t="s">
        <v>84</v>
      </c>
      <c r="D196" s="49">
        <v>45937</v>
      </c>
      <c r="E196" s="54" t="s">
        <v>165</v>
      </c>
      <c r="F196" s="54" t="s">
        <v>71</v>
      </c>
      <c r="G196" s="17" t="s">
        <v>70</v>
      </c>
      <c r="H196" s="50" t="s">
        <v>603</v>
      </c>
      <c r="I196" s="50" t="s">
        <v>87</v>
      </c>
      <c r="J196" s="25">
        <v>20251792</v>
      </c>
      <c r="K196" s="17" t="s">
        <v>11</v>
      </c>
      <c r="L196" s="50" t="s">
        <v>84</v>
      </c>
      <c r="M196" s="17" t="s">
        <v>17</v>
      </c>
      <c r="N196" s="24" t="s">
        <v>1205</v>
      </c>
      <c r="O196" s="21" t="s">
        <v>1206</v>
      </c>
      <c r="P196" s="22" t="s">
        <v>1207</v>
      </c>
      <c r="Q196" s="25" t="s">
        <v>1208</v>
      </c>
      <c r="R196" s="17" t="s">
        <v>73</v>
      </c>
      <c r="S196" s="23" t="s">
        <v>84</v>
      </c>
      <c r="T196" s="60" t="s">
        <v>84</v>
      </c>
      <c r="U196" s="20">
        <v>45961</v>
      </c>
    </row>
    <row r="197" spans="1:21" ht="43.5" hidden="1">
      <c r="A197" s="25" t="s">
        <v>1209</v>
      </c>
      <c r="B197" s="17" t="s">
        <v>69</v>
      </c>
      <c r="C197" s="50" t="s">
        <v>84</v>
      </c>
      <c r="D197" s="49">
        <v>45891</v>
      </c>
      <c r="E197" s="54" t="s">
        <v>911</v>
      </c>
      <c r="F197" s="54" t="s">
        <v>71</v>
      </c>
      <c r="G197" s="17" t="s">
        <v>70</v>
      </c>
      <c r="H197" s="50" t="s">
        <v>1210</v>
      </c>
      <c r="I197" s="50" t="s">
        <v>87</v>
      </c>
      <c r="J197" s="25">
        <v>20250630</v>
      </c>
      <c r="K197" s="17" t="s">
        <v>12</v>
      </c>
      <c r="L197" s="50" t="s">
        <v>84</v>
      </c>
      <c r="M197" s="17" t="s">
        <v>17</v>
      </c>
      <c r="N197" s="53" t="s">
        <v>1211</v>
      </c>
      <c r="O197" s="53" t="s">
        <v>1212</v>
      </c>
      <c r="P197" s="22">
        <v>0</v>
      </c>
      <c r="Q197" s="125" t="s">
        <v>915</v>
      </c>
      <c r="R197" s="17" t="s">
        <v>73</v>
      </c>
      <c r="S197" s="23" t="s">
        <v>84</v>
      </c>
      <c r="T197" s="60" t="s">
        <v>84</v>
      </c>
      <c r="U197" s="20">
        <v>45894</v>
      </c>
    </row>
    <row r="198" spans="1:21" ht="43.5" hidden="1">
      <c r="A198" s="25" t="s">
        <v>1213</v>
      </c>
      <c r="B198" s="17" t="s">
        <v>69</v>
      </c>
      <c r="C198" s="50" t="s">
        <v>84</v>
      </c>
      <c r="D198" s="49">
        <v>45917</v>
      </c>
      <c r="E198" s="54" t="s">
        <v>911</v>
      </c>
      <c r="F198" s="54" t="s">
        <v>71</v>
      </c>
      <c r="G198" s="17" t="s">
        <v>70</v>
      </c>
      <c r="H198" s="50" t="s">
        <v>906</v>
      </c>
      <c r="I198" s="50" t="s">
        <v>1214</v>
      </c>
      <c r="J198" s="25">
        <v>20251261</v>
      </c>
      <c r="K198" s="17" t="s">
        <v>12</v>
      </c>
      <c r="L198" s="50" t="s">
        <v>84</v>
      </c>
      <c r="M198" s="17" t="s">
        <v>17</v>
      </c>
      <c r="N198" s="53" t="s">
        <v>1215</v>
      </c>
      <c r="O198" s="53" t="s">
        <v>1212</v>
      </c>
      <c r="P198" s="22">
        <v>0</v>
      </c>
      <c r="Q198" s="125" t="s">
        <v>915</v>
      </c>
      <c r="R198" s="17" t="s">
        <v>73</v>
      </c>
      <c r="S198" s="23" t="s">
        <v>84</v>
      </c>
      <c r="T198" s="60" t="s">
        <v>84</v>
      </c>
      <c r="U198" s="20">
        <v>45918</v>
      </c>
    </row>
    <row r="199" spans="1:21" s="12" customFormat="1" ht="101.45" hidden="1">
      <c r="A199" s="25" t="s">
        <v>1216</v>
      </c>
      <c r="B199" s="17" t="s">
        <v>72</v>
      </c>
      <c r="C199" s="50" t="s">
        <v>84</v>
      </c>
      <c r="D199" s="49">
        <v>45880</v>
      </c>
      <c r="E199" s="54" t="s">
        <v>911</v>
      </c>
      <c r="F199" s="51" t="s">
        <v>71</v>
      </c>
      <c r="G199" s="17" t="s">
        <v>70</v>
      </c>
      <c r="H199" s="50" t="s">
        <v>1217</v>
      </c>
      <c r="I199" s="50" t="s">
        <v>87</v>
      </c>
      <c r="J199" s="25">
        <v>20252065</v>
      </c>
      <c r="K199" s="51" t="s">
        <v>12</v>
      </c>
      <c r="L199" s="50" t="s">
        <v>84</v>
      </c>
      <c r="M199" s="51" t="s">
        <v>17</v>
      </c>
      <c r="N199" s="52" t="s">
        <v>1218</v>
      </c>
      <c r="O199" s="53" t="s">
        <v>1212</v>
      </c>
      <c r="P199" s="22">
        <v>0</v>
      </c>
      <c r="Q199" s="52" t="s">
        <v>1219</v>
      </c>
      <c r="R199" s="17" t="s">
        <v>73</v>
      </c>
      <c r="S199" s="23" t="s">
        <v>84</v>
      </c>
      <c r="T199" s="60" t="s">
        <v>84</v>
      </c>
      <c r="U199" s="20">
        <v>45894</v>
      </c>
    </row>
    <row r="200" spans="1:21" ht="226.5" hidden="1" customHeight="1">
      <c r="A200" s="25" t="s">
        <v>1220</v>
      </c>
      <c r="B200" s="17" t="s">
        <v>69</v>
      </c>
      <c r="C200" s="50" t="s">
        <v>84</v>
      </c>
      <c r="D200" s="49" t="s">
        <v>1221</v>
      </c>
      <c r="E200" s="54" t="s">
        <v>1080</v>
      </c>
      <c r="F200" s="54" t="s">
        <v>74</v>
      </c>
      <c r="G200" s="17" t="s">
        <v>73</v>
      </c>
      <c r="H200" s="50" t="s">
        <v>84</v>
      </c>
      <c r="I200" s="50" t="s">
        <v>84</v>
      </c>
      <c r="J200" s="50" t="s">
        <v>84</v>
      </c>
      <c r="K200" s="17" t="s">
        <v>9</v>
      </c>
      <c r="L200" s="50" t="s">
        <v>84</v>
      </c>
      <c r="M200" s="17" t="s">
        <v>19</v>
      </c>
      <c r="N200" s="104" t="s">
        <v>1222</v>
      </c>
      <c r="O200" s="36" t="s">
        <v>1223</v>
      </c>
      <c r="P200" s="22"/>
      <c r="Q200" s="52" t="s">
        <v>1224</v>
      </c>
      <c r="R200" s="17" t="s">
        <v>73</v>
      </c>
      <c r="S200" s="23" t="s">
        <v>84</v>
      </c>
      <c r="T200" s="60"/>
      <c r="U200" s="20">
        <v>45945</v>
      </c>
    </row>
    <row r="201" spans="1:21" ht="57.95" hidden="1">
      <c r="A201" s="25" t="s">
        <v>1225</v>
      </c>
      <c r="B201" s="17" t="s">
        <v>894</v>
      </c>
      <c r="C201" s="50" t="s">
        <v>84</v>
      </c>
      <c r="D201" s="20">
        <v>45954</v>
      </c>
      <c r="E201" s="17" t="s">
        <v>1226</v>
      </c>
      <c r="F201" s="17" t="s">
        <v>71</v>
      </c>
      <c r="G201" s="17" t="s">
        <v>73</v>
      </c>
      <c r="H201" s="19" t="s">
        <v>1227</v>
      </c>
      <c r="I201" s="19" t="s">
        <v>308</v>
      </c>
      <c r="J201" s="25">
        <v>20252270</v>
      </c>
      <c r="K201" s="17" t="s">
        <v>10</v>
      </c>
      <c r="L201" s="50" t="s">
        <v>84</v>
      </c>
      <c r="M201" s="17" t="s">
        <v>19</v>
      </c>
      <c r="N201" s="24" t="s">
        <v>1228</v>
      </c>
      <c r="O201" s="21" t="s">
        <v>1229</v>
      </c>
      <c r="P201" s="22">
        <v>0</v>
      </c>
      <c r="Q201" s="25" t="s">
        <v>1230</v>
      </c>
      <c r="R201" s="17" t="s">
        <v>73</v>
      </c>
      <c r="S201" s="23" t="s">
        <v>84</v>
      </c>
      <c r="T201" s="60" t="s">
        <v>84</v>
      </c>
      <c r="U201" s="20">
        <v>46023</v>
      </c>
    </row>
    <row r="202" spans="1:21" ht="29.1" hidden="1">
      <c r="A202" s="25" t="s">
        <v>1231</v>
      </c>
      <c r="B202" s="17" t="s">
        <v>894</v>
      </c>
      <c r="C202" s="50" t="s">
        <v>84</v>
      </c>
      <c r="D202" s="20">
        <v>45954</v>
      </c>
      <c r="E202" s="17" t="s">
        <v>1226</v>
      </c>
      <c r="F202" s="17" t="s">
        <v>71</v>
      </c>
      <c r="G202" s="17" t="s">
        <v>73</v>
      </c>
      <c r="H202" s="19" t="s">
        <v>1232</v>
      </c>
      <c r="I202" s="19" t="s">
        <v>308</v>
      </c>
      <c r="J202" s="25">
        <v>20251556</v>
      </c>
      <c r="K202" s="17" t="s">
        <v>10</v>
      </c>
      <c r="L202" s="50" t="s">
        <v>84</v>
      </c>
      <c r="M202" s="17" t="s">
        <v>19</v>
      </c>
      <c r="N202" s="24" t="s">
        <v>1233</v>
      </c>
      <c r="O202" s="37" t="s">
        <v>1234</v>
      </c>
      <c r="P202" s="75">
        <v>1080</v>
      </c>
      <c r="Q202" s="52" t="s">
        <v>1235</v>
      </c>
      <c r="R202" s="17" t="s">
        <v>73</v>
      </c>
      <c r="S202" s="23" t="s">
        <v>84</v>
      </c>
      <c r="T202" s="60" t="s">
        <v>84</v>
      </c>
      <c r="U202" s="20">
        <v>46023</v>
      </c>
    </row>
    <row r="203" spans="1:21" s="38" customFormat="1" ht="140.25" hidden="1" customHeight="1">
      <c r="A203" s="25" t="s">
        <v>1236</v>
      </c>
      <c r="B203" s="17" t="s">
        <v>69</v>
      </c>
      <c r="C203" s="50" t="s">
        <v>84</v>
      </c>
      <c r="D203" s="49">
        <v>45945</v>
      </c>
      <c r="E203" s="54" t="s">
        <v>911</v>
      </c>
      <c r="F203" s="54" t="s">
        <v>71</v>
      </c>
      <c r="G203" s="17" t="s">
        <v>70</v>
      </c>
      <c r="H203" s="50" t="s">
        <v>906</v>
      </c>
      <c r="I203" s="50" t="s">
        <v>308</v>
      </c>
      <c r="J203" s="25">
        <v>20252143</v>
      </c>
      <c r="K203" s="17" t="s">
        <v>12</v>
      </c>
      <c r="L203" s="50" t="s">
        <v>84</v>
      </c>
      <c r="M203" s="17" t="s">
        <v>17</v>
      </c>
      <c r="N203" s="36" t="s">
        <v>1237</v>
      </c>
      <c r="O203" s="140" t="s">
        <v>1238</v>
      </c>
      <c r="P203" s="22">
        <v>0</v>
      </c>
      <c r="Q203" s="52" t="s">
        <v>1239</v>
      </c>
      <c r="R203" s="17" t="s">
        <v>73</v>
      </c>
      <c r="S203" s="23" t="s">
        <v>84</v>
      </c>
      <c r="T203" s="60" t="s">
        <v>84</v>
      </c>
      <c r="U203" s="20">
        <v>45953</v>
      </c>
    </row>
    <row r="204" spans="1:21" ht="57.95" hidden="1">
      <c r="A204" s="25" t="s">
        <v>1240</v>
      </c>
      <c r="B204" s="17" t="s">
        <v>69</v>
      </c>
      <c r="C204" s="50" t="s">
        <v>84</v>
      </c>
      <c r="D204" s="49" t="s">
        <v>1241</v>
      </c>
      <c r="E204" s="54" t="s">
        <v>911</v>
      </c>
      <c r="F204" s="54" t="s">
        <v>71</v>
      </c>
      <c r="G204" s="17" t="s">
        <v>70</v>
      </c>
      <c r="H204" s="50" t="s">
        <v>1242</v>
      </c>
      <c r="I204" s="50" t="s">
        <v>1109</v>
      </c>
      <c r="J204" s="25">
        <v>20250654</v>
      </c>
      <c r="K204" s="17" t="s">
        <v>12</v>
      </c>
      <c r="L204" s="50" t="s">
        <v>84</v>
      </c>
      <c r="M204" s="17" t="s">
        <v>17</v>
      </c>
      <c r="N204" s="36" t="s">
        <v>1243</v>
      </c>
      <c r="O204" s="140" t="s">
        <v>1238</v>
      </c>
      <c r="P204" s="22">
        <v>0</v>
      </c>
      <c r="Q204" s="52" t="s">
        <v>1239</v>
      </c>
      <c r="R204" s="17" t="s">
        <v>73</v>
      </c>
      <c r="S204" s="23" t="s">
        <v>84</v>
      </c>
      <c r="T204" s="60" t="s">
        <v>84</v>
      </c>
      <c r="U204" s="20">
        <v>45958</v>
      </c>
    </row>
    <row r="205" spans="1:21" ht="130.5" hidden="1">
      <c r="A205" s="25" t="s">
        <v>1244</v>
      </c>
      <c r="B205" s="17" t="s">
        <v>72</v>
      </c>
      <c r="C205" s="50" t="s">
        <v>84</v>
      </c>
      <c r="D205" s="49">
        <v>45958</v>
      </c>
      <c r="E205" s="54" t="s">
        <v>165</v>
      </c>
      <c r="F205" s="54" t="s">
        <v>71</v>
      </c>
      <c r="G205" s="17" t="s">
        <v>70</v>
      </c>
      <c r="H205" s="50" t="s">
        <v>1245</v>
      </c>
      <c r="I205" s="50" t="s">
        <v>87</v>
      </c>
      <c r="J205" s="25">
        <v>20250102</v>
      </c>
      <c r="K205" s="17" t="s">
        <v>12</v>
      </c>
      <c r="L205" s="50" t="s">
        <v>84</v>
      </c>
      <c r="M205" s="17" t="s">
        <v>17</v>
      </c>
      <c r="N205" s="24" t="s">
        <v>1246</v>
      </c>
      <c r="O205" s="24" t="s">
        <v>1247</v>
      </c>
      <c r="P205" s="22">
        <v>0</v>
      </c>
      <c r="Q205" s="146" t="s">
        <v>1248</v>
      </c>
      <c r="R205" s="17" t="s">
        <v>73</v>
      </c>
      <c r="S205" s="23" t="s">
        <v>84</v>
      </c>
      <c r="T205" s="60" t="s">
        <v>84</v>
      </c>
      <c r="U205" s="20">
        <v>45992</v>
      </c>
    </row>
    <row r="206" spans="1:21" ht="87" hidden="1">
      <c r="A206" s="25" t="s">
        <v>1249</v>
      </c>
      <c r="B206" s="17" t="s">
        <v>72</v>
      </c>
      <c r="C206" s="50" t="s">
        <v>84</v>
      </c>
      <c r="D206" s="49">
        <v>45942</v>
      </c>
      <c r="E206" s="54" t="s">
        <v>165</v>
      </c>
      <c r="F206" s="54" t="s">
        <v>71</v>
      </c>
      <c r="G206" s="17" t="s">
        <v>70</v>
      </c>
      <c r="H206" s="50" t="s">
        <v>978</v>
      </c>
      <c r="I206" s="50" t="s">
        <v>87</v>
      </c>
      <c r="J206" s="25">
        <v>20252731</v>
      </c>
      <c r="K206" s="17" t="s">
        <v>9</v>
      </c>
      <c r="L206" s="50" t="s">
        <v>84</v>
      </c>
      <c r="M206" s="17" t="s">
        <v>17</v>
      </c>
      <c r="N206" s="24" t="s">
        <v>1250</v>
      </c>
      <c r="O206" s="24" t="s">
        <v>1251</v>
      </c>
      <c r="P206" s="22">
        <v>0</v>
      </c>
      <c r="Q206" s="25" t="s">
        <v>1252</v>
      </c>
      <c r="R206" s="17" t="s">
        <v>73</v>
      </c>
      <c r="S206" s="23" t="s">
        <v>84</v>
      </c>
      <c r="T206" s="60" t="s">
        <v>84</v>
      </c>
      <c r="U206" s="20">
        <v>46001</v>
      </c>
    </row>
    <row r="207" spans="1:21" ht="29.1" hidden="1">
      <c r="A207" s="25" t="s">
        <v>1253</v>
      </c>
      <c r="B207" s="17" t="s">
        <v>72</v>
      </c>
      <c r="C207" s="50" t="s">
        <v>84</v>
      </c>
      <c r="D207" s="49">
        <v>45985</v>
      </c>
      <c r="E207" s="54" t="s">
        <v>337</v>
      </c>
      <c r="F207" s="54" t="s">
        <v>71</v>
      </c>
      <c r="G207" s="17" t="s">
        <v>73</v>
      </c>
      <c r="H207" s="50" t="s">
        <v>1254</v>
      </c>
      <c r="I207" s="50" t="s">
        <v>87</v>
      </c>
      <c r="J207" s="25">
        <v>20250311</v>
      </c>
      <c r="K207" s="17" t="s">
        <v>10</v>
      </c>
      <c r="L207" s="50" t="s">
        <v>84</v>
      </c>
      <c r="M207" s="17" t="s">
        <v>21</v>
      </c>
      <c r="N207" s="24" t="s">
        <v>1255</v>
      </c>
      <c r="O207" s="21" t="s">
        <v>1256</v>
      </c>
      <c r="P207" s="22">
        <v>0</v>
      </c>
      <c r="Q207" s="25" t="s">
        <v>1257</v>
      </c>
      <c r="R207" s="17" t="s">
        <v>73</v>
      </c>
      <c r="S207" s="23" t="s">
        <v>84</v>
      </c>
      <c r="T207" s="60" t="s">
        <v>84</v>
      </c>
      <c r="U207" s="20">
        <v>46072</v>
      </c>
    </row>
    <row r="208" spans="1:21" ht="57.95" hidden="1">
      <c r="A208" s="25" t="s">
        <v>1258</v>
      </c>
      <c r="B208" s="17" t="s">
        <v>69</v>
      </c>
      <c r="C208" s="50" t="s">
        <v>84</v>
      </c>
      <c r="D208" s="20">
        <v>45979</v>
      </c>
      <c r="E208" s="54" t="s">
        <v>911</v>
      </c>
      <c r="F208" s="54" t="s">
        <v>71</v>
      </c>
      <c r="G208" s="17" t="s">
        <v>70</v>
      </c>
      <c r="H208" s="50" t="s">
        <v>1259</v>
      </c>
      <c r="I208" s="50" t="s">
        <v>1109</v>
      </c>
      <c r="J208" s="25">
        <v>20250654</v>
      </c>
      <c r="K208" s="17" t="s">
        <v>12</v>
      </c>
      <c r="L208" s="50" t="s">
        <v>84</v>
      </c>
      <c r="M208" s="17" t="s">
        <v>17</v>
      </c>
      <c r="N208" s="36" t="s">
        <v>1260</v>
      </c>
      <c r="O208" s="140" t="s">
        <v>1238</v>
      </c>
      <c r="P208" s="22">
        <v>0</v>
      </c>
      <c r="Q208" s="52" t="s">
        <v>1239</v>
      </c>
      <c r="R208" s="17" t="s">
        <v>73</v>
      </c>
      <c r="S208" s="23" t="s">
        <v>84</v>
      </c>
      <c r="T208" s="60" t="s">
        <v>84</v>
      </c>
      <c r="U208" s="20">
        <v>45985</v>
      </c>
    </row>
    <row r="209" spans="1:21" s="38" customFormat="1" ht="188.45" hidden="1">
      <c r="A209" s="25" t="s">
        <v>1261</v>
      </c>
      <c r="B209" s="17" t="s">
        <v>76</v>
      </c>
      <c r="C209" s="50" t="s">
        <v>84</v>
      </c>
      <c r="D209" s="49">
        <v>45999</v>
      </c>
      <c r="E209" s="54" t="s">
        <v>370</v>
      </c>
      <c r="F209" s="54" t="s">
        <v>71</v>
      </c>
      <c r="G209" s="17" t="s">
        <v>70</v>
      </c>
      <c r="H209" s="50" t="s">
        <v>946</v>
      </c>
      <c r="I209" s="50" t="s">
        <v>87</v>
      </c>
      <c r="J209" s="25" t="s">
        <v>84</v>
      </c>
      <c r="K209" s="17" t="s">
        <v>10</v>
      </c>
      <c r="L209" s="50" t="s">
        <v>84</v>
      </c>
      <c r="M209" s="17" t="s">
        <v>19</v>
      </c>
      <c r="N209" s="24" t="s">
        <v>1262</v>
      </c>
      <c r="O209" s="21" t="s">
        <v>1263</v>
      </c>
      <c r="P209" s="22" t="s">
        <v>590</v>
      </c>
      <c r="Q209" s="25" t="s">
        <v>1264</v>
      </c>
      <c r="R209" s="17" t="s">
        <v>73</v>
      </c>
      <c r="S209" s="23" t="s">
        <v>84</v>
      </c>
      <c r="T209" s="60" t="s">
        <v>84</v>
      </c>
      <c r="U209" s="20">
        <v>46010</v>
      </c>
    </row>
    <row r="210" spans="1:21" ht="116.1" hidden="1">
      <c r="A210" s="25" t="s">
        <v>1265</v>
      </c>
      <c r="B210" s="17" t="s">
        <v>69</v>
      </c>
      <c r="C210" s="50" t="s">
        <v>84</v>
      </c>
      <c r="D210" s="49">
        <v>46003</v>
      </c>
      <c r="E210" s="54" t="s">
        <v>165</v>
      </c>
      <c r="F210" s="54" t="s">
        <v>71</v>
      </c>
      <c r="G210" s="17" t="s">
        <v>70</v>
      </c>
      <c r="H210" s="50" t="s">
        <v>1266</v>
      </c>
      <c r="I210" s="50" t="s">
        <v>87</v>
      </c>
      <c r="J210" s="25">
        <v>20252394</v>
      </c>
      <c r="K210" s="17" t="s">
        <v>9</v>
      </c>
      <c r="L210" s="50" t="s">
        <v>84</v>
      </c>
      <c r="M210" s="17" t="s">
        <v>17</v>
      </c>
      <c r="N210" s="36" t="s">
        <v>1267</v>
      </c>
      <c r="O210" s="140" t="s">
        <v>1268</v>
      </c>
      <c r="P210" s="22" t="s">
        <v>1269</v>
      </c>
      <c r="Q210" s="25" t="s">
        <v>1270</v>
      </c>
      <c r="R210" s="17" t="s">
        <v>73</v>
      </c>
      <c r="S210" s="23" t="s">
        <v>84</v>
      </c>
      <c r="T210" s="60" t="s">
        <v>84</v>
      </c>
      <c r="U210" s="20">
        <v>46027</v>
      </c>
    </row>
    <row r="211" spans="1:21" ht="29.1" hidden="1">
      <c r="A211" s="25" t="s">
        <v>1271</v>
      </c>
      <c r="B211" s="17" t="s">
        <v>69</v>
      </c>
      <c r="C211" s="50" t="s">
        <v>84</v>
      </c>
      <c r="D211" s="49">
        <v>46021</v>
      </c>
      <c r="E211" s="54" t="s">
        <v>313</v>
      </c>
      <c r="F211" s="54" t="s">
        <v>71</v>
      </c>
      <c r="G211" s="17" t="s">
        <v>70</v>
      </c>
      <c r="H211" s="50" t="s">
        <v>9</v>
      </c>
      <c r="I211" s="50" t="s">
        <v>9</v>
      </c>
      <c r="J211" s="25" t="s">
        <v>1272</v>
      </c>
      <c r="K211" s="17" t="s">
        <v>9</v>
      </c>
      <c r="L211" s="50" t="s">
        <v>84</v>
      </c>
      <c r="M211" s="17" t="s">
        <v>19</v>
      </c>
      <c r="N211" s="24" t="s">
        <v>1273</v>
      </c>
      <c r="O211" s="24" t="s">
        <v>1274</v>
      </c>
      <c r="P211" s="22">
        <v>0</v>
      </c>
      <c r="Q211" s="25" t="s">
        <v>1275</v>
      </c>
      <c r="R211" s="17" t="s">
        <v>73</v>
      </c>
      <c r="S211" s="23" t="s">
        <v>84</v>
      </c>
      <c r="T211" s="60" t="s">
        <v>84</v>
      </c>
      <c r="U211" s="20">
        <v>46036</v>
      </c>
    </row>
    <row r="212" spans="1:21" ht="72.599999999999994" hidden="1">
      <c r="A212" s="25" t="s">
        <v>1276</v>
      </c>
      <c r="B212" s="17" t="s">
        <v>69</v>
      </c>
      <c r="C212" s="50" t="s">
        <v>84</v>
      </c>
      <c r="D212" s="49">
        <v>46041</v>
      </c>
      <c r="E212" s="54" t="s">
        <v>127</v>
      </c>
      <c r="F212" s="54" t="s">
        <v>71</v>
      </c>
      <c r="G212" s="17" t="s">
        <v>70</v>
      </c>
      <c r="H212" s="50" t="s">
        <v>128</v>
      </c>
      <c r="I212" s="50" t="s">
        <v>216</v>
      </c>
      <c r="J212" s="25">
        <v>2025</v>
      </c>
      <c r="K212" s="17" t="s">
        <v>10</v>
      </c>
      <c r="L212" s="50" t="s">
        <v>84</v>
      </c>
      <c r="M212" s="17" t="s">
        <v>19</v>
      </c>
      <c r="N212" s="24" t="s">
        <v>1277</v>
      </c>
      <c r="O212" s="21" t="s">
        <v>1278</v>
      </c>
      <c r="P212" s="22">
        <v>0</v>
      </c>
      <c r="Q212" s="25" t="s">
        <v>1279</v>
      </c>
      <c r="R212" s="17" t="s">
        <v>73</v>
      </c>
      <c r="S212" s="23" t="s">
        <v>84</v>
      </c>
      <c r="T212" s="60" t="s">
        <v>84</v>
      </c>
      <c r="U212" s="20">
        <v>46041</v>
      </c>
    </row>
    <row r="213" spans="1:21" ht="30.95" hidden="1">
      <c r="A213" s="25" t="s">
        <v>1280</v>
      </c>
      <c r="B213" s="17" t="s">
        <v>69</v>
      </c>
      <c r="C213" s="50" t="s">
        <v>84</v>
      </c>
      <c r="D213" s="49">
        <v>46010</v>
      </c>
      <c r="E213" s="54" t="s">
        <v>862</v>
      </c>
      <c r="F213" s="54" t="s">
        <v>71</v>
      </c>
      <c r="G213" s="17" t="s">
        <v>70</v>
      </c>
      <c r="H213" s="50" t="s">
        <v>290</v>
      </c>
      <c r="I213" s="50" t="s">
        <v>216</v>
      </c>
      <c r="J213" s="25">
        <v>20251002</v>
      </c>
      <c r="K213" s="17" t="s">
        <v>11</v>
      </c>
      <c r="L213" s="50" t="s">
        <v>84</v>
      </c>
      <c r="M213" s="17" t="s">
        <v>21</v>
      </c>
      <c r="N213" s="150" t="s">
        <v>1281</v>
      </c>
      <c r="O213" s="174" t="s">
        <v>1282</v>
      </c>
      <c r="P213" s="26" t="s">
        <v>1283</v>
      </c>
      <c r="Q213" s="25" t="s">
        <v>1284</v>
      </c>
      <c r="R213" s="17" t="s">
        <v>73</v>
      </c>
      <c r="S213" s="23" t="s">
        <v>84</v>
      </c>
      <c r="T213" s="60" t="s">
        <v>84</v>
      </c>
      <c r="U213" s="20">
        <v>46063</v>
      </c>
    </row>
    <row r="214" spans="1:21" ht="174" hidden="1">
      <c r="A214" s="25" t="s">
        <v>1285</v>
      </c>
      <c r="B214" s="17" t="s">
        <v>69</v>
      </c>
      <c r="C214" s="50" t="s">
        <v>84</v>
      </c>
      <c r="D214" s="49">
        <v>46022</v>
      </c>
      <c r="E214" s="54" t="s">
        <v>1286</v>
      </c>
      <c r="F214" s="54" t="s">
        <v>71</v>
      </c>
      <c r="G214" s="50" t="s">
        <v>84</v>
      </c>
      <c r="H214" s="50" t="s">
        <v>84</v>
      </c>
      <c r="I214" s="50" t="s">
        <v>84</v>
      </c>
      <c r="J214" s="25" t="s">
        <v>84</v>
      </c>
      <c r="K214" s="17" t="s">
        <v>9</v>
      </c>
      <c r="L214" s="50" t="s">
        <v>84</v>
      </c>
      <c r="M214" s="17" t="s">
        <v>19</v>
      </c>
      <c r="N214" s="36" t="s">
        <v>1287</v>
      </c>
      <c r="O214" s="36" t="s">
        <v>1288</v>
      </c>
      <c r="P214" s="22" t="s">
        <v>84</v>
      </c>
      <c r="Q214" s="25" t="s">
        <v>1289</v>
      </c>
      <c r="R214" s="17" t="s">
        <v>73</v>
      </c>
      <c r="S214" s="23" t="s">
        <v>84</v>
      </c>
      <c r="T214" s="67" t="s">
        <v>1290</v>
      </c>
      <c r="U214" s="20">
        <v>46050</v>
      </c>
    </row>
    <row r="215" spans="1:21" ht="101.45" hidden="1">
      <c r="A215" s="25" t="s">
        <v>1291</v>
      </c>
      <c r="B215" s="17" t="s">
        <v>72</v>
      </c>
      <c r="C215" s="50" t="s">
        <v>84</v>
      </c>
      <c r="D215" s="49">
        <v>46043</v>
      </c>
      <c r="E215" s="54" t="s">
        <v>165</v>
      </c>
      <c r="F215" s="54" t="s">
        <v>71</v>
      </c>
      <c r="G215" s="17" t="s">
        <v>70</v>
      </c>
      <c r="H215" s="50" t="s">
        <v>1292</v>
      </c>
      <c r="I215" s="50" t="s">
        <v>87</v>
      </c>
      <c r="J215" s="25">
        <v>20250965</v>
      </c>
      <c r="K215" s="17" t="s">
        <v>9</v>
      </c>
      <c r="L215" s="50" t="s">
        <v>84</v>
      </c>
      <c r="M215" s="17" t="s">
        <v>17</v>
      </c>
      <c r="N215" s="24" t="s">
        <v>1293</v>
      </c>
      <c r="O215" s="24" t="s">
        <v>1294</v>
      </c>
      <c r="P215" s="22">
        <v>0</v>
      </c>
      <c r="Q215" s="25" t="s">
        <v>1295</v>
      </c>
      <c r="R215" s="17" t="s">
        <v>73</v>
      </c>
      <c r="S215" s="23" t="s">
        <v>84</v>
      </c>
      <c r="T215" s="60" t="s">
        <v>84</v>
      </c>
      <c r="U215" s="20">
        <v>46044</v>
      </c>
    </row>
    <row r="216" spans="1:21" ht="57.95" hidden="1">
      <c r="A216" s="25" t="s">
        <v>1296</v>
      </c>
      <c r="B216" s="51" t="s">
        <v>72</v>
      </c>
      <c r="C216" s="50" t="s">
        <v>84</v>
      </c>
      <c r="D216" s="20">
        <v>45993</v>
      </c>
      <c r="E216" s="51" t="s">
        <v>911</v>
      </c>
      <c r="F216" s="51" t="s">
        <v>71</v>
      </c>
      <c r="G216" s="51" t="s">
        <v>70</v>
      </c>
      <c r="H216" s="17" t="s">
        <v>1297</v>
      </c>
      <c r="I216" s="17" t="s">
        <v>308</v>
      </c>
      <c r="J216" s="25">
        <v>20252429</v>
      </c>
      <c r="K216" s="17" t="s">
        <v>10</v>
      </c>
      <c r="L216" s="50" t="s">
        <v>84</v>
      </c>
      <c r="M216" s="17" t="s">
        <v>16</v>
      </c>
      <c r="N216" s="52" t="s">
        <v>1298</v>
      </c>
      <c r="O216" s="52" t="s">
        <v>1299</v>
      </c>
      <c r="P216" s="22" t="s">
        <v>1300</v>
      </c>
      <c r="Q216" s="52" t="s">
        <v>1301</v>
      </c>
      <c r="R216" s="17" t="s">
        <v>73</v>
      </c>
      <c r="S216" s="23" t="s">
        <v>84</v>
      </c>
      <c r="T216" s="60" t="s">
        <v>84</v>
      </c>
      <c r="U216" s="20">
        <v>46009</v>
      </c>
    </row>
    <row r="217" spans="1:21" ht="159.6" hidden="1">
      <c r="A217" s="25" t="s">
        <v>1302</v>
      </c>
      <c r="B217" s="17" t="s">
        <v>69</v>
      </c>
      <c r="C217" s="50" t="s">
        <v>84</v>
      </c>
      <c r="D217" s="20">
        <v>45988</v>
      </c>
      <c r="E217" s="51" t="s">
        <v>911</v>
      </c>
      <c r="F217" s="51" t="s">
        <v>71</v>
      </c>
      <c r="G217" s="51" t="s">
        <v>70</v>
      </c>
      <c r="H217" s="17" t="s">
        <v>1303</v>
      </c>
      <c r="I217" s="17" t="s">
        <v>1304</v>
      </c>
      <c r="J217" s="25">
        <v>20252673</v>
      </c>
      <c r="K217" s="17" t="s">
        <v>12</v>
      </c>
      <c r="L217" s="50" t="s">
        <v>84</v>
      </c>
      <c r="M217" s="17" t="s">
        <v>17</v>
      </c>
      <c r="N217" s="52" t="s">
        <v>1305</v>
      </c>
      <c r="O217" s="52" t="s">
        <v>1306</v>
      </c>
      <c r="P217" s="22" t="s">
        <v>1307</v>
      </c>
      <c r="Q217" s="52" t="s">
        <v>1308</v>
      </c>
      <c r="R217" s="17" t="s">
        <v>73</v>
      </c>
      <c r="S217" s="23" t="s">
        <v>84</v>
      </c>
      <c r="T217" s="60" t="s">
        <v>84</v>
      </c>
      <c r="U217" s="20">
        <v>46051</v>
      </c>
    </row>
    <row r="218" spans="1:21" ht="43.5" hidden="1">
      <c r="A218" s="25" t="s">
        <v>1309</v>
      </c>
      <c r="B218" s="17" t="s">
        <v>72</v>
      </c>
      <c r="C218" s="50" t="s">
        <v>84</v>
      </c>
      <c r="D218" s="20">
        <v>45993</v>
      </c>
      <c r="E218" s="51" t="s">
        <v>911</v>
      </c>
      <c r="F218" s="51" t="s">
        <v>71</v>
      </c>
      <c r="G218" s="51" t="s">
        <v>70</v>
      </c>
      <c r="H218" s="17" t="s">
        <v>1303</v>
      </c>
      <c r="I218" s="17" t="s">
        <v>1304</v>
      </c>
      <c r="J218" s="25">
        <v>20252673</v>
      </c>
      <c r="K218" s="17" t="s">
        <v>11</v>
      </c>
      <c r="L218" s="50" t="s">
        <v>84</v>
      </c>
      <c r="M218" s="17" t="s">
        <v>16</v>
      </c>
      <c r="N218" s="24" t="s">
        <v>1310</v>
      </c>
      <c r="O218" s="21" t="s">
        <v>1311</v>
      </c>
      <c r="P218" s="22">
        <v>0</v>
      </c>
      <c r="Q218" s="52" t="s">
        <v>1312</v>
      </c>
      <c r="R218" s="17" t="s">
        <v>73</v>
      </c>
      <c r="S218" s="23" t="s">
        <v>84</v>
      </c>
      <c r="T218" s="60" t="s">
        <v>84</v>
      </c>
      <c r="U218" s="20">
        <v>46044</v>
      </c>
    </row>
    <row r="219" spans="1:21" ht="29.1" hidden="1">
      <c r="A219" s="25" t="s">
        <v>1313</v>
      </c>
      <c r="B219" s="43" t="s">
        <v>69</v>
      </c>
      <c r="C219" s="50" t="s">
        <v>84</v>
      </c>
      <c r="D219" s="44">
        <v>46028</v>
      </c>
      <c r="E219" s="43" t="s">
        <v>1314</v>
      </c>
      <c r="F219" s="43" t="s">
        <v>74</v>
      </c>
      <c r="G219" s="43" t="s">
        <v>70</v>
      </c>
      <c r="H219" s="45" t="s">
        <v>1315</v>
      </c>
      <c r="I219" s="43" t="s">
        <v>84</v>
      </c>
      <c r="J219" s="45" t="s">
        <v>84</v>
      </c>
      <c r="K219" s="43" t="s">
        <v>9</v>
      </c>
      <c r="L219" s="50" t="s">
        <v>84</v>
      </c>
      <c r="M219" s="45" t="s">
        <v>1316</v>
      </c>
      <c r="N219" s="45" t="s">
        <v>1317</v>
      </c>
      <c r="O219" s="21" t="s">
        <v>1318</v>
      </c>
      <c r="P219" s="22" t="s">
        <v>1307</v>
      </c>
      <c r="Q219" s="25" t="s">
        <v>1319</v>
      </c>
      <c r="R219" s="17" t="s">
        <v>73</v>
      </c>
      <c r="S219" s="23"/>
      <c r="T219" s="60"/>
      <c r="U219" s="20">
        <v>46081</v>
      </c>
    </row>
    <row r="220" spans="1:21" ht="116.1" hidden="1">
      <c r="A220" s="25" t="s">
        <v>1320</v>
      </c>
      <c r="B220" s="46" t="s">
        <v>69</v>
      </c>
      <c r="C220" s="50" t="s">
        <v>84</v>
      </c>
      <c r="D220" s="20">
        <v>46038</v>
      </c>
      <c r="E220" s="17" t="s">
        <v>862</v>
      </c>
      <c r="F220" s="17" t="s">
        <v>74</v>
      </c>
      <c r="G220" s="17" t="s">
        <v>70</v>
      </c>
      <c r="H220" s="17" t="s">
        <v>1321</v>
      </c>
      <c r="I220" s="17" t="s">
        <v>1304</v>
      </c>
      <c r="J220" s="25">
        <v>20251919</v>
      </c>
      <c r="K220" s="17" t="s">
        <v>10</v>
      </c>
      <c r="L220" s="50" t="s">
        <v>84</v>
      </c>
      <c r="M220" s="17" t="s">
        <v>1322</v>
      </c>
      <c r="N220" s="36" t="s">
        <v>1323</v>
      </c>
      <c r="O220" s="36" t="s">
        <v>1324</v>
      </c>
      <c r="P220" s="22" t="s">
        <v>1325</v>
      </c>
      <c r="Q220" s="25" t="s">
        <v>1326</v>
      </c>
      <c r="R220" s="17" t="s">
        <v>73</v>
      </c>
      <c r="S220" s="23"/>
      <c r="T220" s="60"/>
      <c r="U220" s="20">
        <v>46038</v>
      </c>
    </row>
    <row r="221" spans="1:21" ht="43.5" hidden="1">
      <c r="A221" s="25" t="s">
        <v>1327</v>
      </c>
      <c r="B221" s="17" t="s">
        <v>69</v>
      </c>
      <c r="C221" s="50" t="s">
        <v>84</v>
      </c>
      <c r="D221" s="49">
        <v>46041</v>
      </c>
      <c r="E221" s="54" t="s">
        <v>911</v>
      </c>
      <c r="F221" s="54" t="s">
        <v>71</v>
      </c>
      <c r="G221" s="17" t="s">
        <v>70</v>
      </c>
      <c r="H221" s="50" t="s">
        <v>1210</v>
      </c>
      <c r="I221" s="50" t="s">
        <v>87</v>
      </c>
      <c r="J221" s="25">
        <v>20250630</v>
      </c>
      <c r="K221" s="17" t="s">
        <v>12</v>
      </c>
      <c r="L221" s="50" t="s">
        <v>84</v>
      </c>
      <c r="M221" s="17" t="s">
        <v>17</v>
      </c>
      <c r="N221" s="53" t="s">
        <v>1328</v>
      </c>
      <c r="O221" s="53" t="s">
        <v>1212</v>
      </c>
      <c r="P221" s="22">
        <v>0</v>
      </c>
      <c r="Q221" s="125" t="s">
        <v>915</v>
      </c>
      <c r="R221" s="17" t="s">
        <v>73</v>
      </c>
      <c r="S221" s="23" t="s">
        <v>84</v>
      </c>
      <c r="T221" s="60" t="s">
        <v>84</v>
      </c>
      <c r="U221" s="20">
        <v>46041</v>
      </c>
    </row>
    <row r="222" spans="1:21" s="38" customFormat="1" ht="87" hidden="1">
      <c r="A222" s="25" t="s">
        <v>1329</v>
      </c>
      <c r="B222" s="17" t="s">
        <v>69</v>
      </c>
      <c r="C222" s="50" t="s">
        <v>84</v>
      </c>
      <c r="D222" s="49">
        <v>45938</v>
      </c>
      <c r="E222" s="54" t="s">
        <v>1226</v>
      </c>
      <c r="F222" s="54" t="s">
        <v>71</v>
      </c>
      <c r="G222" s="17" t="s">
        <v>73</v>
      </c>
      <c r="H222" s="50" t="s">
        <v>1330</v>
      </c>
      <c r="I222" s="50" t="s">
        <v>308</v>
      </c>
      <c r="J222" s="25">
        <v>20251704</v>
      </c>
      <c r="K222" s="17" t="s">
        <v>12</v>
      </c>
      <c r="L222" s="50" t="s">
        <v>84</v>
      </c>
      <c r="M222" s="17" t="s">
        <v>19</v>
      </c>
      <c r="N222" s="36" t="s">
        <v>1331</v>
      </c>
      <c r="O222" s="140" t="s">
        <v>1332</v>
      </c>
      <c r="P222" s="147" t="s">
        <v>1333</v>
      </c>
      <c r="Q222" s="52" t="s">
        <v>1334</v>
      </c>
      <c r="R222" s="17" t="s">
        <v>70</v>
      </c>
      <c r="S222" s="23" t="s">
        <v>1335</v>
      </c>
      <c r="T222" s="60" t="s">
        <v>1335</v>
      </c>
      <c r="U222" s="20" t="s">
        <v>1336</v>
      </c>
    </row>
    <row r="223" spans="1:21" s="38" customFormat="1" ht="57.95" hidden="1">
      <c r="A223" s="25" t="s">
        <v>1337</v>
      </c>
      <c r="B223" s="17" t="s">
        <v>69</v>
      </c>
      <c r="C223" s="50" t="s">
        <v>84</v>
      </c>
      <c r="D223" s="121">
        <v>46045</v>
      </c>
      <c r="E223" s="54" t="s">
        <v>1226</v>
      </c>
      <c r="F223" s="54" t="s">
        <v>71</v>
      </c>
      <c r="G223" s="17" t="s">
        <v>73</v>
      </c>
      <c r="H223" s="50" t="s">
        <v>1330</v>
      </c>
      <c r="I223" s="50" t="s">
        <v>308</v>
      </c>
      <c r="J223" s="25">
        <v>20251704</v>
      </c>
      <c r="K223" s="17" t="s">
        <v>12</v>
      </c>
      <c r="L223" s="50" t="s">
        <v>84</v>
      </c>
      <c r="M223" s="17" t="s">
        <v>19</v>
      </c>
      <c r="N223" s="36" t="s">
        <v>1338</v>
      </c>
      <c r="O223" s="36" t="s">
        <v>1339</v>
      </c>
      <c r="P223" s="22" t="s">
        <v>1340</v>
      </c>
      <c r="Q223" s="25" t="s">
        <v>1341</v>
      </c>
      <c r="R223" s="17" t="s">
        <v>70</v>
      </c>
      <c r="S223" s="23" t="s">
        <v>1335</v>
      </c>
      <c r="T223" s="60" t="s">
        <v>1335</v>
      </c>
      <c r="U223" s="20">
        <v>46121</v>
      </c>
    </row>
    <row r="224" spans="1:21" s="38" customFormat="1" ht="87" hidden="1">
      <c r="A224" s="25" t="s">
        <v>1342</v>
      </c>
      <c r="B224" s="17" t="s">
        <v>69</v>
      </c>
      <c r="C224" s="50" t="s">
        <v>84</v>
      </c>
      <c r="D224" s="121">
        <v>46038</v>
      </c>
      <c r="E224" s="54" t="s">
        <v>1226</v>
      </c>
      <c r="F224" s="54" t="s">
        <v>71</v>
      </c>
      <c r="G224" s="17" t="s">
        <v>73</v>
      </c>
      <c r="H224" s="50" t="s">
        <v>1343</v>
      </c>
      <c r="I224" s="50" t="s">
        <v>308</v>
      </c>
      <c r="J224" s="25" t="s">
        <v>1344</v>
      </c>
      <c r="K224" s="17" t="s">
        <v>12</v>
      </c>
      <c r="L224" s="50" t="s">
        <v>84</v>
      </c>
      <c r="M224" s="17" t="s">
        <v>19</v>
      </c>
      <c r="N224" s="36" t="s">
        <v>1345</v>
      </c>
      <c r="O224" s="36" t="s">
        <v>1346</v>
      </c>
      <c r="P224" s="22" t="s">
        <v>1340</v>
      </c>
      <c r="Q224" s="25" t="s">
        <v>1347</v>
      </c>
      <c r="R224" s="17" t="s">
        <v>70</v>
      </c>
      <c r="S224" s="23" t="s">
        <v>1335</v>
      </c>
      <c r="T224" s="60" t="s">
        <v>1335</v>
      </c>
      <c r="U224" s="20">
        <v>46121</v>
      </c>
    </row>
    <row r="225" spans="1:21" s="38" customFormat="1" ht="188.45" hidden="1">
      <c r="A225" s="25" t="s">
        <v>1348</v>
      </c>
      <c r="B225" s="17" t="s">
        <v>69</v>
      </c>
      <c r="C225" s="50" t="s">
        <v>84</v>
      </c>
      <c r="D225" s="49">
        <v>46048</v>
      </c>
      <c r="E225" s="54" t="s">
        <v>911</v>
      </c>
      <c r="F225" s="54" t="s">
        <v>71</v>
      </c>
      <c r="G225" s="17" t="s">
        <v>70</v>
      </c>
      <c r="H225" s="50" t="s">
        <v>1349</v>
      </c>
      <c r="I225" s="50" t="s">
        <v>1350</v>
      </c>
      <c r="J225" s="25">
        <v>20252673</v>
      </c>
      <c r="K225" s="17" t="s">
        <v>10</v>
      </c>
      <c r="L225" s="50" t="s">
        <v>84</v>
      </c>
      <c r="M225" s="17" t="s">
        <v>19</v>
      </c>
      <c r="N225" s="36" t="s">
        <v>1351</v>
      </c>
      <c r="O225" s="36" t="s">
        <v>1352</v>
      </c>
      <c r="P225" s="22">
        <v>0</v>
      </c>
      <c r="Q225" s="25" t="s">
        <v>1353</v>
      </c>
      <c r="R225" s="17" t="s">
        <v>70</v>
      </c>
      <c r="S225" s="23" t="s">
        <v>1354</v>
      </c>
      <c r="T225" s="60" t="s">
        <v>84</v>
      </c>
      <c r="U225" s="20">
        <v>46058</v>
      </c>
    </row>
    <row r="226" spans="1:21" ht="101.45" hidden="1">
      <c r="A226" s="25" t="s">
        <v>1355</v>
      </c>
      <c r="B226" s="17" t="s">
        <v>69</v>
      </c>
      <c r="C226" s="50" t="s">
        <v>84</v>
      </c>
      <c r="D226" s="49">
        <v>46037</v>
      </c>
      <c r="E226" s="54" t="s">
        <v>1029</v>
      </c>
      <c r="F226" s="54" t="s">
        <v>71</v>
      </c>
      <c r="G226" s="17" t="s">
        <v>70</v>
      </c>
      <c r="H226" s="50" t="s">
        <v>128</v>
      </c>
      <c r="I226" s="50" t="s">
        <v>138</v>
      </c>
      <c r="J226" s="25">
        <v>20251269</v>
      </c>
      <c r="K226" s="17" t="s">
        <v>10</v>
      </c>
      <c r="L226" s="50" t="s">
        <v>84</v>
      </c>
      <c r="M226" s="17" t="s">
        <v>21</v>
      </c>
      <c r="N226" s="24" t="s">
        <v>1356</v>
      </c>
      <c r="O226" s="104" t="s">
        <v>1357</v>
      </c>
      <c r="P226" s="22" t="s">
        <v>1358</v>
      </c>
      <c r="Q226" s="25" t="s">
        <v>1359</v>
      </c>
      <c r="R226" s="17" t="s">
        <v>73</v>
      </c>
      <c r="S226" s="23" t="s">
        <v>84</v>
      </c>
      <c r="T226" s="60" t="s">
        <v>84</v>
      </c>
      <c r="U226" s="20">
        <v>46066</v>
      </c>
    </row>
    <row r="227" spans="1:21" ht="144.94999999999999" hidden="1">
      <c r="A227" s="25" t="s">
        <v>1360</v>
      </c>
      <c r="B227" s="17" t="s">
        <v>76</v>
      </c>
      <c r="C227" s="50" t="s">
        <v>84</v>
      </c>
      <c r="D227" s="49">
        <v>46051</v>
      </c>
      <c r="E227" s="54" t="s">
        <v>1286</v>
      </c>
      <c r="F227" s="54" t="s">
        <v>71</v>
      </c>
      <c r="G227" s="17" t="s">
        <v>73</v>
      </c>
      <c r="H227" s="50" t="s">
        <v>302</v>
      </c>
      <c r="I227" s="50" t="s">
        <v>1016</v>
      </c>
      <c r="J227" s="50" t="s">
        <v>1017</v>
      </c>
      <c r="K227" s="50" t="s">
        <v>10</v>
      </c>
      <c r="L227" s="50" t="s">
        <v>84</v>
      </c>
      <c r="M227" s="17" t="s">
        <v>19</v>
      </c>
      <c r="N227" s="24" t="s">
        <v>1361</v>
      </c>
      <c r="O227" s="17" t="s">
        <v>84</v>
      </c>
      <c r="P227" s="22" t="s">
        <v>84</v>
      </c>
      <c r="Q227" s="25" t="s">
        <v>1362</v>
      </c>
      <c r="R227" s="17" t="s">
        <v>73</v>
      </c>
      <c r="S227" s="23" t="s">
        <v>84</v>
      </c>
      <c r="T227" s="60" t="s">
        <v>84</v>
      </c>
      <c r="U227" s="20">
        <v>46106</v>
      </c>
    </row>
    <row r="228" spans="1:21" s="38" customFormat="1" ht="57.95" hidden="1">
      <c r="A228" s="25" t="s">
        <v>1363</v>
      </c>
      <c r="B228" s="17" t="s">
        <v>69</v>
      </c>
      <c r="C228" s="50" t="s">
        <v>84</v>
      </c>
      <c r="D228" s="20">
        <v>46056</v>
      </c>
      <c r="E228" s="54" t="s">
        <v>911</v>
      </c>
      <c r="F228" s="17" t="s">
        <v>71</v>
      </c>
      <c r="G228" s="17" t="s">
        <v>70</v>
      </c>
      <c r="H228" s="17" t="s">
        <v>921</v>
      </c>
      <c r="I228" s="17" t="s">
        <v>1364</v>
      </c>
      <c r="J228" s="25">
        <v>20252251</v>
      </c>
      <c r="K228" s="17" t="s">
        <v>10</v>
      </c>
      <c r="L228" s="50" t="s">
        <v>84</v>
      </c>
      <c r="M228" s="17" t="s">
        <v>17</v>
      </c>
      <c r="N228" s="36" t="s">
        <v>1365</v>
      </c>
      <c r="O228" s="53" t="s">
        <v>914</v>
      </c>
      <c r="P228" s="22">
        <v>0</v>
      </c>
      <c r="Q228" s="125" t="s">
        <v>1366</v>
      </c>
      <c r="R228" s="17" t="s">
        <v>73</v>
      </c>
      <c r="S228" s="23" t="s">
        <v>84</v>
      </c>
      <c r="T228" s="60" t="s">
        <v>84</v>
      </c>
      <c r="U228" s="20">
        <v>46058</v>
      </c>
    </row>
    <row r="229" spans="1:21" ht="57.95" hidden="1">
      <c r="A229" s="25" t="s">
        <v>1367</v>
      </c>
      <c r="B229" s="17" t="s">
        <v>69</v>
      </c>
      <c r="C229" s="50" t="s">
        <v>84</v>
      </c>
      <c r="D229" s="20">
        <v>46031</v>
      </c>
      <c r="E229" s="54" t="s">
        <v>911</v>
      </c>
      <c r="F229" s="17" t="s">
        <v>71</v>
      </c>
      <c r="G229" s="17" t="s">
        <v>70</v>
      </c>
      <c r="H229" s="17" t="s">
        <v>314</v>
      </c>
      <c r="I229" s="17" t="s">
        <v>1368</v>
      </c>
      <c r="J229" s="25">
        <v>20251334</v>
      </c>
      <c r="K229" s="17" t="s">
        <v>10</v>
      </c>
      <c r="L229" s="50" t="s">
        <v>84</v>
      </c>
      <c r="M229" s="17" t="s">
        <v>17</v>
      </c>
      <c r="N229" s="36" t="s">
        <v>1369</v>
      </c>
      <c r="O229" s="53" t="s">
        <v>914</v>
      </c>
      <c r="P229" s="22">
        <v>0</v>
      </c>
      <c r="Q229" s="125" t="s">
        <v>1366</v>
      </c>
      <c r="R229" s="17" t="s">
        <v>73</v>
      </c>
      <c r="S229" s="23" t="s">
        <v>84</v>
      </c>
      <c r="T229" s="60" t="s">
        <v>84</v>
      </c>
      <c r="U229" s="20">
        <v>46057</v>
      </c>
    </row>
    <row r="230" spans="1:21" ht="57.95" hidden="1">
      <c r="A230" s="25" t="s">
        <v>1370</v>
      </c>
      <c r="B230" s="17" t="s">
        <v>69</v>
      </c>
      <c r="C230" s="50" t="s">
        <v>84</v>
      </c>
      <c r="D230" s="20">
        <v>46048</v>
      </c>
      <c r="E230" s="54" t="s">
        <v>911</v>
      </c>
      <c r="F230" s="17" t="s">
        <v>71</v>
      </c>
      <c r="G230" s="17" t="s">
        <v>70</v>
      </c>
      <c r="H230" s="17" t="s">
        <v>921</v>
      </c>
      <c r="I230" s="17" t="s">
        <v>1368</v>
      </c>
      <c r="J230" s="25">
        <v>20251334</v>
      </c>
      <c r="K230" s="17" t="s">
        <v>10</v>
      </c>
      <c r="L230" s="50" t="s">
        <v>84</v>
      </c>
      <c r="M230" s="17" t="s">
        <v>17</v>
      </c>
      <c r="N230" s="36" t="s">
        <v>1371</v>
      </c>
      <c r="O230" s="53" t="s">
        <v>914</v>
      </c>
      <c r="P230" s="22">
        <v>0</v>
      </c>
      <c r="Q230" s="125" t="s">
        <v>1366</v>
      </c>
      <c r="R230" s="17" t="s">
        <v>73</v>
      </c>
      <c r="S230" s="23" t="s">
        <v>84</v>
      </c>
      <c r="T230" s="60" t="s">
        <v>84</v>
      </c>
      <c r="U230" s="20">
        <v>46058</v>
      </c>
    </row>
    <row r="231" spans="1:21" ht="101.45" hidden="1">
      <c r="A231" s="25" t="s">
        <v>1372</v>
      </c>
      <c r="B231" s="17" t="s">
        <v>69</v>
      </c>
      <c r="C231" s="50" t="s">
        <v>84</v>
      </c>
      <c r="D231" s="49">
        <v>46057</v>
      </c>
      <c r="E231" s="54" t="s">
        <v>127</v>
      </c>
      <c r="F231" s="54" t="s">
        <v>71</v>
      </c>
      <c r="G231" s="17" t="s">
        <v>70</v>
      </c>
      <c r="H231" s="50" t="s">
        <v>128</v>
      </c>
      <c r="I231" s="50" t="s">
        <v>554</v>
      </c>
      <c r="J231" s="25">
        <v>20252856</v>
      </c>
      <c r="K231" s="17" t="s">
        <v>11</v>
      </c>
      <c r="L231" s="50" t="s">
        <v>84</v>
      </c>
      <c r="M231" s="17" t="s">
        <v>19</v>
      </c>
      <c r="N231" s="24" t="s">
        <v>1373</v>
      </c>
      <c r="O231" s="21" t="s">
        <v>1374</v>
      </c>
      <c r="P231" s="22">
        <v>400</v>
      </c>
      <c r="Q231" s="25" t="s">
        <v>1375</v>
      </c>
      <c r="R231" s="17" t="s">
        <v>73</v>
      </c>
      <c r="S231" s="23" t="s">
        <v>84</v>
      </c>
      <c r="T231" s="60" t="s">
        <v>84</v>
      </c>
      <c r="U231" s="20">
        <v>46063</v>
      </c>
    </row>
    <row r="232" spans="1:21" ht="101.45">
      <c r="A232" s="25" t="s">
        <v>1376</v>
      </c>
      <c r="B232" s="17" t="s">
        <v>75</v>
      </c>
      <c r="C232" s="50" t="s">
        <v>84</v>
      </c>
      <c r="D232" s="49">
        <v>46049</v>
      </c>
      <c r="E232" s="54" t="s">
        <v>313</v>
      </c>
      <c r="F232" s="54" t="s">
        <v>71</v>
      </c>
      <c r="G232" s="17" t="s">
        <v>70</v>
      </c>
      <c r="H232" s="50" t="s">
        <v>1377</v>
      </c>
      <c r="I232" s="50" t="s">
        <v>87</v>
      </c>
      <c r="J232" s="25">
        <v>20243236</v>
      </c>
      <c r="K232" s="17" t="s">
        <v>10</v>
      </c>
      <c r="L232" s="50" t="s">
        <v>84</v>
      </c>
      <c r="M232" s="17" t="s">
        <v>19</v>
      </c>
      <c r="N232" s="24" t="s">
        <v>1378</v>
      </c>
      <c r="O232" s="24" t="s">
        <v>1379</v>
      </c>
      <c r="P232" s="22" t="s">
        <v>1272</v>
      </c>
      <c r="Q232" s="25" t="s">
        <v>1380</v>
      </c>
      <c r="R232" s="17" t="s">
        <v>73</v>
      </c>
      <c r="S232" s="23" t="s">
        <v>84</v>
      </c>
      <c r="T232" s="60" t="s">
        <v>84</v>
      </c>
      <c r="U232" s="20">
        <v>46063</v>
      </c>
    </row>
    <row r="233" spans="1:21" ht="116.1" hidden="1">
      <c r="A233" s="25" t="s">
        <v>1381</v>
      </c>
      <c r="B233" s="17" t="s">
        <v>72</v>
      </c>
      <c r="C233" s="50" t="s">
        <v>84</v>
      </c>
      <c r="D233" s="49">
        <v>46048</v>
      </c>
      <c r="E233" s="54" t="s">
        <v>819</v>
      </c>
      <c r="F233" s="54" t="s">
        <v>71</v>
      </c>
      <c r="G233" s="17" t="s">
        <v>70</v>
      </c>
      <c r="H233" s="50" t="s">
        <v>144</v>
      </c>
      <c r="I233" s="50" t="s">
        <v>87</v>
      </c>
      <c r="J233" s="25">
        <v>20251499</v>
      </c>
      <c r="K233" s="17" t="s">
        <v>10</v>
      </c>
      <c r="L233" s="50" t="s">
        <v>84</v>
      </c>
      <c r="M233" s="17" t="s">
        <v>19</v>
      </c>
      <c r="N233" s="24" t="s">
        <v>1382</v>
      </c>
      <c r="O233" s="24" t="s">
        <v>1383</v>
      </c>
      <c r="P233" s="26" t="s">
        <v>1384</v>
      </c>
      <c r="Q233" s="25" t="s">
        <v>1385</v>
      </c>
      <c r="R233" s="17" t="s">
        <v>73</v>
      </c>
      <c r="S233" s="23" t="s">
        <v>84</v>
      </c>
      <c r="T233" s="60" t="s">
        <v>84</v>
      </c>
      <c r="U233" s="20">
        <v>46063</v>
      </c>
    </row>
    <row r="234" spans="1:21" ht="144.94999999999999">
      <c r="A234" s="25" t="s">
        <v>1386</v>
      </c>
      <c r="B234" s="17" t="s">
        <v>75</v>
      </c>
      <c r="C234" s="50" t="s">
        <v>84</v>
      </c>
      <c r="D234" s="49">
        <v>46062</v>
      </c>
      <c r="E234" s="54" t="s">
        <v>370</v>
      </c>
      <c r="F234" s="54" t="s">
        <v>71</v>
      </c>
      <c r="G234" s="17" t="s">
        <v>70</v>
      </c>
      <c r="H234" s="50" t="s">
        <v>1387</v>
      </c>
      <c r="I234" s="50" t="s">
        <v>308</v>
      </c>
      <c r="J234" s="25" t="s">
        <v>1388</v>
      </c>
      <c r="K234" s="17" t="s">
        <v>10</v>
      </c>
      <c r="L234" s="50" t="s">
        <v>84</v>
      </c>
      <c r="M234" s="17" t="s">
        <v>19</v>
      </c>
      <c r="N234" s="24" t="s">
        <v>1389</v>
      </c>
      <c r="O234" s="21" t="s">
        <v>1390</v>
      </c>
      <c r="P234" s="22" t="s">
        <v>84</v>
      </c>
      <c r="Q234" s="25" t="s">
        <v>84</v>
      </c>
      <c r="R234" s="17" t="s">
        <v>73</v>
      </c>
      <c r="S234" s="23" t="s">
        <v>84</v>
      </c>
      <c r="T234" s="60" t="s">
        <v>84</v>
      </c>
      <c r="U234" s="20">
        <v>46267</v>
      </c>
    </row>
    <row r="235" spans="1:21" ht="72.599999999999994" hidden="1">
      <c r="A235" s="25" t="s">
        <v>1391</v>
      </c>
      <c r="B235" s="17" t="s">
        <v>72</v>
      </c>
      <c r="C235" s="50" t="s">
        <v>84</v>
      </c>
      <c r="D235" s="49">
        <v>46070</v>
      </c>
      <c r="E235" s="54" t="s">
        <v>819</v>
      </c>
      <c r="F235" s="54" t="s">
        <v>71</v>
      </c>
      <c r="G235" s="17" t="s">
        <v>70</v>
      </c>
      <c r="H235" s="50" t="s">
        <v>1392</v>
      </c>
      <c r="I235" s="50" t="s">
        <v>87</v>
      </c>
      <c r="J235" s="25" t="s">
        <v>1393</v>
      </c>
      <c r="K235" s="17" t="s">
        <v>12</v>
      </c>
      <c r="L235" s="50" t="s">
        <v>84</v>
      </c>
      <c r="M235" s="17" t="s">
        <v>21</v>
      </c>
      <c r="N235" s="24" t="s">
        <v>1394</v>
      </c>
      <c r="O235" s="24" t="s">
        <v>1395</v>
      </c>
      <c r="P235" s="22" t="s">
        <v>84</v>
      </c>
      <c r="Q235" s="125" t="s">
        <v>1396</v>
      </c>
      <c r="R235" s="17" t="s">
        <v>73</v>
      </c>
      <c r="S235" s="23" t="s">
        <v>84</v>
      </c>
      <c r="T235" s="60" t="s">
        <v>84</v>
      </c>
      <c r="U235" s="20">
        <v>46073</v>
      </c>
    </row>
    <row r="236" spans="1:21" ht="57.95" hidden="1">
      <c r="A236" s="25" t="s">
        <v>1397</v>
      </c>
      <c r="B236" s="17" t="s">
        <v>69</v>
      </c>
      <c r="C236" s="50" t="s">
        <v>84</v>
      </c>
      <c r="D236" s="49">
        <v>45926</v>
      </c>
      <c r="E236" s="54" t="s">
        <v>1398</v>
      </c>
      <c r="F236" s="54" t="s">
        <v>71</v>
      </c>
      <c r="G236" s="17" t="s">
        <v>70</v>
      </c>
      <c r="H236" s="50" t="s">
        <v>1399</v>
      </c>
      <c r="I236" s="50" t="s">
        <v>1400</v>
      </c>
      <c r="J236" s="25">
        <v>20243045</v>
      </c>
      <c r="K236" s="17" t="s">
        <v>12</v>
      </c>
      <c r="L236" s="50" t="s">
        <v>84</v>
      </c>
      <c r="M236" s="17" t="s">
        <v>17</v>
      </c>
      <c r="N236" s="27" t="s">
        <v>1401</v>
      </c>
      <c r="O236" s="21" t="s">
        <v>1402</v>
      </c>
      <c r="P236" s="22" t="s">
        <v>84</v>
      </c>
      <c r="Q236" s="53" t="s">
        <v>1396</v>
      </c>
      <c r="R236" s="17" t="s">
        <v>73</v>
      </c>
      <c r="S236" s="23" t="s">
        <v>84</v>
      </c>
      <c r="T236" s="60" t="s">
        <v>84</v>
      </c>
      <c r="U236" s="20">
        <v>45926</v>
      </c>
    </row>
    <row r="237" spans="1:21" ht="29.25" hidden="1" customHeight="1">
      <c r="A237" s="25" t="s">
        <v>1403</v>
      </c>
      <c r="B237" s="17" t="s">
        <v>69</v>
      </c>
      <c r="C237" s="50" t="s">
        <v>84</v>
      </c>
      <c r="D237" s="49">
        <v>46070</v>
      </c>
      <c r="E237" s="54" t="s">
        <v>1226</v>
      </c>
      <c r="F237" s="54" t="s">
        <v>71</v>
      </c>
      <c r="G237" s="17" t="s">
        <v>73</v>
      </c>
      <c r="H237" s="50" t="s">
        <v>1330</v>
      </c>
      <c r="I237" s="50" t="s">
        <v>308</v>
      </c>
      <c r="J237" s="25" t="s">
        <v>1404</v>
      </c>
      <c r="K237" s="17" t="s">
        <v>12</v>
      </c>
      <c r="L237" s="50" t="s">
        <v>84</v>
      </c>
      <c r="M237" s="17" t="s">
        <v>21</v>
      </c>
      <c r="N237" s="24" t="s">
        <v>1405</v>
      </c>
      <c r="O237" s="21" t="s">
        <v>1406</v>
      </c>
      <c r="P237" s="22" t="s">
        <v>1407</v>
      </c>
      <c r="Q237" s="52" t="s">
        <v>1408</v>
      </c>
      <c r="R237" s="17" t="s">
        <v>70</v>
      </c>
      <c r="S237" s="23" t="s">
        <v>1335</v>
      </c>
      <c r="T237" s="60" t="s">
        <v>1335</v>
      </c>
      <c r="U237" s="20">
        <v>46121</v>
      </c>
    </row>
    <row r="238" spans="1:21" ht="57.95" hidden="1">
      <c r="A238" s="25" t="s">
        <v>1409</v>
      </c>
      <c r="B238" s="17" t="s">
        <v>69</v>
      </c>
      <c r="C238" s="50" t="s">
        <v>84</v>
      </c>
      <c r="D238" s="49">
        <v>45868</v>
      </c>
      <c r="E238" s="54" t="s">
        <v>1398</v>
      </c>
      <c r="F238" s="54" t="s">
        <v>71</v>
      </c>
      <c r="G238" s="17" t="s">
        <v>70</v>
      </c>
      <c r="H238" s="50" t="s">
        <v>1410</v>
      </c>
      <c r="I238" s="50" t="s">
        <v>1400</v>
      </c>
      <c r="J238" s="25">
        <v>20243045</v>
      </c>
      <c r="K238" s="17" t="s">
        <v>12</v>
      </c>
      <c r="L238" s="50" t="s">
        <v>84</v>
      </c>
      <c r="M238" s="17" t="s">
        <v>17</v>
      </c>
      <c r="N238" s="27" t="s">
        <v>1411</v>
      </c>
      <c r="O238" s="21" t="s">
        <v>1402</v>
      </c>
      <c r="P238" s="22" t="s">
        <v>84</v>
      </c>
      <c r="Q238" s="53" t="s">
        <v>1366</v>
      </c>
      <c r="R238" s="17" t="s">
        <v>73</v>
      </c>
      <c r="S238" s="23" t="s">
        <v>84</v>
      </c>
      <c r="T238" s="60" t="s">
        <v>84</v>
      </c>
      <c r="U238" s="20">
        <v>45869</v>
      </c>
    </row>
    <row r="239" spans="1:21" s="182" customFormat="1" ht="159.6" hidden="1">
      <c r="A239" s="175" t="s">
        <v>1412</v>
      </c>
      <c r="B239" s="176" t="s">
        <v>72</v>
      </c>
      <c r="C239" s="177" t="s">
        <v>84</v>
      </c>
      <c r="D239" s="178">
        <v>46058</v>
      </c>
      <c r="E239" s="177" t="s">
        <v>165</v>
      </c>
      <c r="F239" s="177" t="s">
        <v>71</v>
      </c>
      <c r="G239" s="176" t="s">
        <v>70</v>
      </c>
      <c r="H239" s="177" t="s">
        <v>1413</v>
      </c>
      <c r="I239" s="177" t="s">
        <v>87</v>
      </c>
      <c r="J239" s="175">
        <v>20250965</v>
      </c>
      <c r="K239" s="176" t="s">
        <v>12</v>
      </c>
      <c r="L239" s="177" t="s">
        <v>84</v>
      </c>
      <c r="M239" s="176" t="s">
        <v>17</v>
      </c>
      <c r="N239" s="179" t="s">
        <v>1414</v>
      </c>
      <c r="O239" s="179" t="s">
        <v>1415</v>
      </c>
      <c r="P239" s="180" t="s">
        <v>84</v>
      </c>
      <c r="Q239" s="175" t="s">
        <v>1416</v>
      </c>
      <c r="R239" s="176" t="s">
        <v>73</v>
      </c>
      <c r="S239" s="176" t="s">
        <v>84</v>
      </c>
      <c r="T239" s="176" t="s">
        <v>84</v>
      </c>
      <c r="U239" s="181">
        <v>46072</v>
      </c>
    </row>
    <row r="240" spans="1:21" ht="57.95" hidden="1">
      <c r="A240" s="25" t="s">
        <v>1417</v>
      </c>
      <c r="B240" s="17" t="s">
        <v>69</v>
      </c>
      <c r="C240" s="50" t="s">
        <v>84</v>
      </c>
      <c r="D240" s="121">
        <v>46072</v>
      </c>
      <c r="E240" s="50" t="s">
        <v>1286</v>
      </c>
      <c r="F240" s="54" t="s">
        <v>71</v>
      </c>
      <c r="G240" s="50" t="s">
        <v>84</v>
      </c>
      <c r="H240" s="50" t="s">
        <v>84</v>
      </c>
      <c r="I240" s="50" t="s">
        <v>84</v>
      </c>
      <c r="J240" s="25" t="s">
        <v>84</v>
      </c>
      <c r="K240" s="17" t="s">
        <v>9</v>
      </c>
      <c r="L240" s="50" t="s">
        <v>84</v>
      </c>
      <c r="M240" s="17" t="s">
        <v>19</v>
      </c>
      <c r="N240" s="24" t="s">
        <v>1418</v>
      </c>
      <c r="O240" s="21" t="s">
        <v>1419</v>
      </c>
      <c r="P240" s="22" t="s">
        <v>84</v>
      </c>
      <c r="Q240" s="25" t="s">
        <v>1420</v>
      </c>
      <c r="R240" s="17" t="s">
        <v>73</v>
      </c>
      <c r="S240" s="17" t="s">
        <v>84</v>
      </c>
      <c r="T240" s="60" t="s">
        <v>84</v>
      </c>
      <c r="U240" s="20">
        <v>46160</v>
      </c>
    </row>
    <row r="241" spans="1:21" ht="43.5" hidden="1">
      <c r="A241" s="25" t="s">
        <v>1421</v>
      </c>
      <c r="B241" s="17" t="s">
        <v>72</v>
      </c>
      <c r="C241" s="50" t="s">
        <v>84</v>
      </c>
      <c r="D241" s="49">
        <v>45858</v>
      </c>
      <c r="E241" s="54" t="s">
        <v>1422</v>
      </c>
      <c r="F241" s="54" t="s">
        <v>71</v>
      </c>
      <c r="G241" s="17" t="s">
        <v>73</v>
      </c>
      <c r="H241" s="50" t="s">
        <v>1423</v>
      </c>
      <c r="I241" s="50" t="s">
        <v>1424</v>
      </c>
      <c r="J241" s="25">
        <v>20241189</v>
      </c>
      <c r="K241" s="17" t="s">
        <v>10</v>
      </c>
      <c r="L241" s="50" t="s">
        <v>84</v>
      </c>
      <c r="M241" s="17" t="s">
        <v>15</v>
      </c>
      <c r="N241" s="24" t="s">
        <v>1425</v>
      </c>
      <c r="O241" s="24" t="s">
        <v>1426</v>
      </c>
      <c r="P241" s="22">
        <v>19735</v>
      </c>
      <c r="Q241" s="25" t="s">
        <v>1427</v>
      </c>
      <c r="R241" s="17"/>
      <c r="S241" s="23"/>
      <c r="T241" s="60"/>
      <c r="U241" s="20"/>
    </row>
    <row r="242" spans="1:21" ht="72.599999999999994" hidden="1">
      <c r="A242" s="25" t="s">
        <v>1428</v>
      </c>
      <c r="B242" s="17" t="s">
        <v>69</v>
      </c>
      <c r="C242" s="50" t="s">
        <v>84</v>
      </c>
      <c r="D242" s="49">
        <v>46063</v>
      </c>
      <c r="E242" s="54" t="s">
        <v>911</v>
      </c>
      <c r="F242" s="17" t="s">
        <v>71</v>
      </c>
      <c r="G242" s="17" t="s">
        <v>70</v>
      </c>
      <c r="H242" s="50" t="s">
        <v>1429</v>
      </c>
      <c r="I242" s="50" t="s">
        <v>1214</v>
      </c>
      <c r="J242" s="25" t="s">
        <v>1430</v>
      </c>
      <c r="K242" s="17" t="s">
        <v>10</v>
      </c>
      <c r="L242" s="50" t="s">
        <v>84</v>
      </c>
      <c r="M242" s="17" t="s">
        <v>17</v>
      </c>
      <c r="N242" s="36" t="s">
        <v>1431</v>
      </c>
      <c r="O242" s="53" t="s">
        <v>1432</v>
      </c>
      <c r="P242" s="22">
        <v>0</v>
      </c>
      <c r="Q242" s="125" t="s">
        <v>1433</v>
      </c>
      <c r="R242" s="17" t="s">
        <v>73</v>
      </c>
      <c r="S242" s="23" t="s">
        <v>84</v>
      </c>
      <c r="T242" s="60" t="s">
        <v>84</v>
      </c>
      <c r="U242" s="20">
        <v>46070</v>
      </c>
    </row>
    <row r="243" spans="1:21" ht="72.599999999999994" hidden="1">
      <c r="A243" s="25" t="s">
        <v>1434</v>
      </c>
      <c r="B243" s="17" t="s">
        <v>69</v>
      </c>
      <c r="C243" s="50" t="s">
        <v>84</v>
      </c>
      <c r="D243" s="49">
        <v>46077</v>
      </c>
      <c r="E243" s="54" t="s">
        <v>165</v>
      </c>
      <c r="F243" s="54" t="s">
        <v>71</v>
      </c>
      <c r="G243" s="17" t="s">
        <v>70</v>
      </c>
      <c r="H243" s="50" t="s">
        <v>314</v>
      </c>
      <c r="I243" s="50" t="s">
        <v>87</v>
      </c>
      <c r="J243" s="25">
        <v>20252879</v>
      </c>
      <c r="K243" s="17" t="s">
        <v>11</v>
      </c>
      <c r="L243" s="50" t="s">
        <v>84</v>
      </c>
      <c r="M243" s="17" t="s">
        <v>21</v>
      </c>
      <c r="N243" s="24" t="s">
        <v>1435</v>
      </c>
      <c r="O243" s="21" t="s">
        <v>1436</v>
      </c>
      <c r="P243" s="22" t="s">
        <v>1437</v>
      </c>
      <c r="Q243" s="25" t="s">
        <v>1438</v>
      </c>
      <c r="R243" s="17" t="s">
        <v>73</v>
      </c>
      <c r="S243" s="23" t="s">
        <v>84</v>
      </c>
      <c r="T243" s="60" t="s">
        <v>84</v>
      </c>
      <c r="U243" s="20">
        <v>46077</v>
      </c>
    </row>
    <row r="244" spans="1:21" ht="217.5" hidden="1">
      <c r="A244" s="25" t="s">
        <v>1439</v>
      </c>
      <c r="B244" s="17" t="s">
        <v>69</v>
      </c>
      <c r="C244" s="50" t="s">
        <v>84</v>
      </c>
      <c r="D244" s="49">
        <v>46064</v>
      </c>
      <c r="E244" s="54" t="s">
        <v>165</v>
      </c>
      <c r="F244" s="54" t="s">
        <v>71</v>
      </c>
      <c r="G244" s="17" t="s">
        <v>70</v>
      </c>
      <c r="H244" s="50" t="s">
        <v>1440</v>
      </c>
      <c r="I244" s="50" t="s">
        <v>87</v>
      </c>
      <c r="J244" s="25">
        <v>20252879</v>
      </c>
      <c r="K244" s="17" t="s">
        <v>10</v>
      </c>
      <c r="L244" s="50" t="s">
        <v>84</v>
      </c>
      <c r="M244" s="17" t="s">
        <v>15</v>
      </c>
      <c r="N244" s="24" t="s">
        <v>1441</v>
      </c>
      <c r="O244" s="24" t="s">
        <v>1442</v>
      </c>
      <c r="P244" s="22">
        <v>0</v>
      </c>
      <c r="Q244" s="25" t="s">
        <v>1443</v>
      </c>
      <c r="R244" s="17" t="s">
        <v>73</v>
      </c>
      <c r="S244" s="23" t="s">
        <v>84</v>
      </c>
      <c r="T244" s="60" t="s">
        <v>84</v>
      </c>
      <c r="U244" s="20">
        <v>46077</v>
      </c>
    </row>
    <row r="245" spans="1:21" ht="116.1" hidden="1">
      <c r="A245" s="25" t="s">
        <v>1444</v>
      </c>
      <c r="B245" s="17" t="s">
        <v>69</v>
      </c>
      <c r="C245" s="50" t="s">
        <v>84</v>
      </c>
      <c r="D245" s="49">
        <v>46084</v>
      </c>
      <c r="E245" s="54" t="s">
        <v>546</v>
      </c>
      <c r="F245" s="54" t="s">
        <v>71</v>
      </c>
      <c r="G245" s="17" t="s">
        <v>70</v>
      </c>
      <c r="H245" s="50" t="s">
        <v>391</v>
      </c>
      <c r="I245" s="50" t="s">
        <v>881</v>
      </c>
      <c r="J245" s="25">
        <v>20252632</v>
      </c>
      <c r="K245" s="17" t="s">
        <v>9</v>
      </c>
      <c r="L245" s="50" t="s">
        <v>84</v>
      </c>
      <c r="M245" s="17" t="s">
        <v>19</v>
      </c>
      <c r="N245" s="24" t="s">
        <v>1445</v>
      </c>
      <c r="O245" s="21" t="s">
        <v>1282</v>
      </c>
      <c r="P245" s="52" t="s">
        <v>1446</v>
      </c>
      <c r="Q245" s="25" t="s">
        <v>1447</v>
      </c>
      <c r="R245" s="17" t="s">
        <v>73</v>
      </c>
      <c r="S245" s="23" t="s">
        <v>84</v>
      </c>
      <c r="T245" s="60" t="s">
        <v>84</v>
      </c>
      <c r="U245" s="20" t="s">
        <v>1448</v>
      </c>
    </row>
    <row r="246" spans="1:21" ht="72.599999999999994" hidden="1">
      <c r="A246" s="25" t="s">
        <v>1449</v>
      </c>
      <c r="B246" s="17" t="s">
        <v>72</v>
      </c>
      <c r="C246" s="50" t="s">
        <v>84</v>
      </c>
      <c r="D246" s="49">
        <v>46090</v>
      </c>
      <c r="E246" s="54" t="s">
        <v>1226</v>
      </c>
      <c r="F246" s="54" t="s">
        <v>71</v>
      </c>
      <c r="G246" s="17" t="s">
        <v>73</v>
      </c>
      <c r="H246" s="50" t="s">
        <v>1232</v>
      </c>
      <c r="I246" s="50" t="s">
        <v>308</v>
      </c>
      <c r="J246" s="25">
        <v>20252574</v>
      </c>
      <c r="K246" s="17" t="s">
        <v>11</v>
      </c>
      <c r="L246" s="50" t="s">
        <v>84</v>
      </c>
      <c r="M246" s="17" t="s">
        <v>21</v>
      </c>
      <c r="N246" s="36" t="s">
        <v>1450</v>
      </c>
      <c r="O246" s="36" t="s">
        <v>1451</v>
      </c>
      <c r="P246" s="22" t="s">
        <v>1452</v>
      </c>
      <c r="Q246" s="52" t="s">
        <v>1453</v>
      </c>
      <c r="R246" s="17" t="s">
        <v>73</v>
      </c>
      <c r="S246" s="23" t="s">
        <v>84</v>
      </c>
      <c r="T246" s="60" t="s">
        <v>84</v>
      </c>
      <c r="U246" s="20">
        <v>46121</v>
      </c>
    </row>
    <row r="247" spans="1:21" ht="101.45" hidden="1">
      <c r="A247" s="25" t="s">
        <v>1454</v>
      </c>
      <c r="B247" s="17" t="s">
        <v>76</v>
      </c>
      <c r="C247" s="50" t="s">
        <v>84</v>
      </c>
      <c r="D247" s="49">
        <v>46086</v>
      </c>
      <c r="E247" s="54" t="s">
        <v>370</v>
      </c>
      <c r="F247" s="54" t="s">
        <v>71</v>
      </c>
      <c r="G247" s="17" t="s">
        <v>73</v>
      </c>
      <c r="H247" s="50" t="s">
        <v>1062</v>
      </c>
      <c r="I247" s="50" t="s">
        <v>1455</v>
      </c>
      <c r="J247" s="25" t="s">
        <v>1456</v>
      </c>
      <c r="K247" s="17" t="s">
        <v>10</v>
      </c>
      <c r="L247" s="50" t="s">
        <v>84</v>
      </c>
      <c r="M247" s="17" t="s">
        <v>15</v>
      </c>
      <c r="N247" s="124" t="s">
        <v>1457</v>
      </c>
      <c r="O247" s="21" t="s">
        <v>1458</v>
      </c>
      <c r="P247" s="22" t="s">
        <v>84</v>
      </c>
      <c r="Q247" s="25" t="s">
        <v>1459</v>
      </c>
      <c r="R247" s="17" t="s">
        <v>73</v>
      </c>
      <c r="S247" s="23" t="s">
        <v>84</v>
      </c>
      <c r="T247" s="60" t="s">
        <v>84</v>
      </c>
      <c r="U247" s="20" t="s">
        <v>1460</v>
      </c>
    </row>
    <row r="248" spans="1:21" ht="362.45" hidden="1">
      <c r="A248" s="25" t="s">
        <v>1461</v>
      </c>
      <c r="B248" s="17" t="s">
        <v>69</v>
      </c>
      <c r="C248" s="50" t="s">
        <v>84</v>
      </c>
      <c r="D248" s="49" t="s">
        <v>1462</v>
      </c>
      <c r="E248" s="54" t="s">
        <v>1314</v>
      </c>
      <c r="F248" s="54" t="s">
        <v>74</v>
      </c>
      <c r="G248" s="17" t="s">
        <v>73</v>
      </c>
      <c r="H248" s="50" t="s">
        <v>84</v>
      </c>
      <c r="I248" s="50" t="s">
        <v>84</v>
      </c>
      <c r="J248" s="25" t="s">
        <v>1463</v>
      </c>
      <c r="K248" s="17" t="s">
        <v>9</v>
      </c>
      <c r="L248" s="50" t="s">
        <v>84</v>
      </c>
      <c r="M248" s="17" t="s">
        <v>17</v>
      </c>
      <c r="N248" s="24" t="s">
        <v>1464</v>
      </c>
      <c r="O248" s="21" t="s">
        <v>1465</v>
      </c>
      <c r="P248" s="22" t="s">
        <v>590</v>
      </c>
      <c r="Q248" s="25" t="s">
        <v>1466</v>
      </c>
      <c r="R248" s="17" t="s">
        <v>73</v>
      </c>
      <c r="S248" s="23"/>
      <c r="T248" s="60"/>
      <c r="U248" s="20">
        <v>46084</v>
      </c>
    </row>
    <row r="249" spans="1:21" ht="57.95" hidden="1">
      <c r="A249" s="25" t="s">
        <v>1467</v>
      </c>
      <c r="B249" s="17" t="s">
        <v>69</v>
      </c>
      <c r="C249" s="50" t="s">
        <v>84</v>
      </c>
      <c r="D249" s="49">
        <v>46084</v>
      </c>
      <c r="E249" s="54" t="s">
        <v>1314</v>
      </c>
      <c r="F249" s="54" t="s">
        <v>74</v>
      </c>
      <c r="G249" s="17" t="s">
        <v>73</v>
      </c>
      <c r="H249" s="50" t="s">
        <v>1468</v>
      </c>
      <c r="I249" s="50" t="s">
        <v>84</v>
      </c>
      <c r="J249" s="25" t="s">
        <v>1463</v>
      </c>
      <c r="K249" s="17" t="s">
        <v>9</v>
      </c>
      <c r="L249" s="50" t="s">
        <v>84</v>
      </c>
      <c r="M249" s="17" t="s">
        <v>17</v>
      </c>
      <c r="N249" s="24" t="s">
        <v>1469</v>
      </c>
      <c r="O249" s="24" t="s">
        <v>1470</v>
      </c>
      <c r="P249" s="22" t="s">
        <v>590</v>
      </c>
      <c r="Q249" s="25" t="s">
        <v>1471</v>
      </c>
      <c r="R249" s="17" t="s">
        <v>73</v>
      </c>
      <c r="S249" s="23"/>
      <c r="T249" s="60"/>
      <c r="U249" s="20">
        <v>46084</v>
      </c>
    </row>
    <row r="250" spans="1:21" ht="87" hidden="1">
      <c r="A250" s="25" t="s">
        <v>1472</v>
      </c>
      <c r="B250" s="17" t="s">
        <v>69</v>
      </c>
      <c r="C250" s="50" t="s">
        <v>84</v>
      </c>
      <c r="D250" s="49">
        <v>46098</v>
      </c>
      <c r="E250" s="54" t="s">
        <v>165</v>
      </c>
      <c r="F250" s="54" t="s">
        <v>71</v>
      </c>
      <c r="G250" s="17" t="s">
        <v>70</v>
      </c>
      <c r="H250" s="50" t="s">
        <v>1200</v>
      </c>
      <c r="I250" s="50" t="s">
        <v>264</v>
      </c>
      <c r="J250" s="25">
        <v>20252275</v>
      </c>
      <c r="K250" s="17" t="s">
        <v>11</v>
      </c>
      <c r="L250" s="50" t="s">
        <v>84</v>
      </c>
      <c r="M250" s="17" t="s">
        <v>19</v>
      </c>
      <c r="N250" s="24" t="s">
        <v>1473</v>
      </c>
      <c r="O250" s="24" t="s">
        <v>1474</v>
      </c>
      <c r="P250" s="22">
        <v>0</v>
      </c>
      <c r="Q250" s="146" t="s">
        <v>1475</v>
      </c>
      <c r="R250" s="17" t="s">
        <v>73</v>
      </c>
      <c r="S250" s="23" t="s">
        <v>84</v>
      </c>
      <c r="T250" s="60" t="s">
        <v>84</v>
      </c>
      <c r="U250" s="20">
        <v>46099</v>
      </c>
    </row>
    <row r="251" spans="1:21" ht="116.1" hidden="1">
      <c r="A251" s="25" t="s">
        <v>1476</v>
      </c>
      <c r="B251" s="17" t="s">
        <v>72</v>
      </c>
      <c r="C251" s="50" t="s">
        <v>84</v>
      </c>
      <c r="D251" s="49">
        <v>46087</v>
      </c>
      <c r="E251" s="54" t="s">
        <v>127</v>
      </c>
      <c r="F251" s="54" t="s">
        <v>71</v>
      </c>
      <c r="G251" s="17" t="s">
        <v>70</v>
      </c>
      <c r="H251" s="50" t="s">
        <v>1477</v>
      </c>
      <c r="I251" s="50" t="s">
        <v>1478</v>
      </c>
      <c r="J251" s="25">
        <v>20252687</v>
      </c>
      <c r="K251" s="17" t="s">
        <v>9</v>
      </c>
      <c r="L251" s="50" t="s">
        <v>84</v>
      </c>
      <c r="M251" s="17" t="s">
        <v>17</v>
      </c>
      <c r="N251" s="24" t="s">
        <v>1479</v>
      </c>
      <c r="O251" s="24" t="s">
        <v>1480</v>
      </c>
      <c r="P251" s="22" t="s">
        <v>84</v>
      </c>
      <c r="Q251" s="25" t="s">
        <v>1481</v>
      </c>
      <c r="R251" s="17" t="s">
        <v>73</v>
      </c>
      <c r="S251" s="23" t="s">
        <v>84</v>
      </c>
      <c r="T251" s="60" t="s">
        <v>84</v>
      </c>
      <c r="U251" s="20">
        <v>46106</v>
      </c>
    </row>
    <row r="252" spans="1:21" ht="130.5" hidden="1">
      <c r="A252" s="25" t="s">
        <v>1482</v>
      </c>
      <c r="B252" s="17" t="s">
        <v>72</v>
      </c>
      <c r="C252" s="50" t="s">
        <v>84</v>
      </c>
      <c r="D252" s="49">
        <v>46108</v>
      </c>
      <c r="E252" s="54" t="s">
        <v>165</v>
      </c>
      <c r="F252" s="54" t="s">
        <v>71</v>
      </c>
      <c r="G252" s="17" t="s">
        <v>70</v>
      </c>
      <c r="H252" s="50" t="s">
        <v>1483</v>
      </c>
      <c r="I252" s="50" t="s">
        <v>1484</v>
      </c>
      <c r="J252" s="25">
        <v>20252220</v>
      </c>
      <c r="K252" s="17" t="s">
        <v>11</v>
      </c>
      <c r="L252" s="50" t="s">
        <v>84</v>
      </c>
      <c r="M252" s="17" t="s">
        <v>19</v>
      </c>
      <c r="N252" s="24" t="s">
        <v>1485</v>
      </c>
      <c r="O252" s="24" t="s">
        <v>1486</v>
      </c>
      <c r="P252" s="22" t="s">
        <v>1487</v>
      </c>
      <c r="Q252" s="25" t="s">
        <v>1488</v>
      </c>
      <c r="R252" s="17" t="s">
        <v>73</v>
      </c>
      <c r="S252" s="23" t="s">
        <v>84</v>
      </c>
      <c r="T252" s="60" t="s">
        <v>84</v>
      </c>
      <c r="U252" s="20" t="s">
        <v>1448</v>
      </c>
    </row>
    <row r="253" spans="1:21" ht="72.599999999999994" hidden="1">
      <c r="A253" s="25" t="s">
        <v>1489</v>
      </c>
      <c r="B253" s="17" t="s">
        <v>69</v>
      </c>
      <c r="C253" s="50" t="s">
        <v>84</v>
      </c>
      <c r="D253" s="49">
        <v>46108</v>
      </c>
      <c r="E253" s="54" t="s">
        <v>127</v>
      </c>
      <c r="F253" s="54" t="s">
        <v>71</v>
      </c>
      <c r="G253" s="17" t="s">
        <v>70</v>
      </c>
      <c r="H253" s="50" t="s">
        <v>1490</v>
      </c>
      <c r="I253" s="50" t="s">
        <v>216</v>
      </c>
      <c r="J253" s="25" t="s">
        <v>1491</v>
      </c>
      <c r="K253" s="17" t="s">
        <v>10</v>
      </c>
      <c r="L253" s="50" t="s">
        <v>84</v>
      </c>
      <c r="M253" s="17" t="s">
        <v>21</v>
      </c>
      <c r="N253" s="24" t="s">
        <v>1492</v>
      </c>
      <c r="O253" s="21" t="s">
        <v>1493</v>
      </c>
      <c r="P253" s="22" t="s">
        <v>1494</v>
      </c>
      <c r="Q253" s="25" t="s">
        <v>1495</v>
      </c>
      <c r="R253" s="17" t="s">
        <v>73</v>
      </c>
      <c r="S253" s="23" t="s">
        <v>84</v>
      </c>
      <c r="T253" s="60" t="s">
        <v>84</v>
      </c>
      <c r="U253" s="20">
        <v>46125</v>
      </c>
    </row>
    <row r="254" spans="1:21" ht="72.599999999999994" hidden="1">
      <c r="A254" s="25" t="s">
        <v>1496</v>
      </c>
      <c r="B254" s="17" t="s">
        <v>69</v>
      </c>
      <c r="C254" s="50" t="s">
        <v>84</v>
      </c>
      <c r="D254" s="49">
        <v>46119</v>
      </c>
      <c r="E254" s="54" t="s">
        <v>127</v>
      </c>
      <c r="F254" s="54" t="s">
        <v>71</v>
      </c>
      <c r="G254" s="17" t="s">
        <v>70</v>
      </c>
      <c r="H254" s="51" t="s">
        <v>1497</v>
      </c>
      <c r="I254" s="50" t="s">
        <v>308</v>
      </c>
      <c r="J254" s="25">
        <v>20252667</v>
      </c>
      <c r="K254" s="17" t="s">
        <v>12</v>
      </c>
      <c r="L254" s="50" t="s">
        <v>84</v>
      </c>
      <c r="M254" s="17" t="s">
        <v>17</v>
      </c>
      <c r="N254" s="24" t="s">
        <v>1498</v>
      </c>
      <c r="O254" s="21" t="s">
        <v>1499</v>
      </c>
      <c r="P254" s="22" t="s">
        <v>84</v>
      </c>
      <c r="Q254" s="25" t="s">
        <v>1500</v>
      </c>
      <c r="R254" s="17" t="s">
        <v>73</v>
      </c>
      <c r="S254" s="23" t="s">
        <v>84</v>
      </c>
      <c r="T254" s="60" t="s">
        <v>84</v>
      </c>
      <c r="U254" s="20">
        <v>46122</v>
      </c>
    </row>
    <row r="255" spans="1:21" ht="116.1" hidden="1">
      <c r="A255" s="25" t="s">
        <v>1501</v>
      </c>
      <c r="B255" s="17" t="s">
        <v>69</v>
      </c>
      <c r="C255" s="50" t="s">
        <v>84</v>
      </c>
      <c r="D255" s="49">
        <v>46100</v>
      </c>
      <c r="E255" s="54" t="s">
        <v>546</v>
      </c>
      <c r="F255" s="54" t="s">
        <v>71</v>
      </c>
      <c r="G255" s="17" t="s">
        <v>70</v>
      </c>
      <c r="H255" s="50" t="s">
        <v>1502</v>
      </c>
      <c r="I255" s="50" t="s">
        <v>1503</v>
      </c>
      <c r="J255" s="25">
        <v>20252026</v>
      </c>
      <c r="K255" s="17" t="s">
        <v>12</v>
      </c>
      <c r="L255" s="50" t="s">
        <v>84</v>
      </c>
      <c r="M255" s="17" t="s">
        <v>17</v>
      </c>
      <c r="N255" s="24" t="s">
        <v>1504</v>
      </c>
      <c r="O255" s="21" t="s">
        <v>1505</v>
      </c>
      <c r="P255" s="22" t="s">
        <v>1506</v>
      </c>
      <c r="Q255" s="25" t="s">
        <v>1507</v>
      </c>
      <c r="R255" s="17" t="s">
        <v>73</v>
      </c>
      <c r="S255" s="23" t="s">
        <v>84</v>
      </c>
      <c r="T255" s="60" t="s">
        <v>84</v>
      </c>
      <c r="U255" s="20">
        <v>46174</v>
      </c>
    </row>
    <row r="256" spans="1:21" ht="87" hidden="1">
      <c r="A256" s="25" t="s">
        <v>1508</v>
      </c>
      <c r="B256" s="17" t="s">
        <v>76</v>
      </c>
      <c r="C256" s="50" t="s">
        <v>84</v>
      </c>
      <c r="D256" s="49">
        <v>46058</v>
      </c>
      <c r="E256" s="54" t="s">
        <v>370</v>
      </c>
      <c r="F256" s="54" t="s">
        <v>71</v>
      </c>
      <c r="G256" s="17" t="s">
        <v>73</v>
      </c>
      <c r="H256" s="50" t="s">
        <v>1509</v>
      </c>
      <c r="I256" s="50" t="s">
        <v>1510</v>
      </c>
      <c r="J256" s="25" t="s">
        <v>1511</v>
      </c>
      <c r="K256" s="17" t="s">
        <v>10</v>
      </c>
      <c r="L256" s="50" t="s">
        <v>84</v>
      </c>
      <c r="M256" s="17" t="s">
        <v>15</v>
      </c>
      <c r="N256" s="166" t="s">
        <v>1512</v>
      </c>
      <c r="O256" s="21" t="s">
        <v>1513</v>
      </c>
      <c r="P256" s="22" t="s">
        <v>84</v>
      </c>
      <c r="Q256" s="25" t="s">
        <v>1514</v>
      </c>
      <c r="R256" s="17" t="s">
        <v>73</v>
      </c>
      <c r="S256" s="23" t="s">
        <v>84</v>
      </c>
      <c r="T256" s="60" t="s">
        <v>84</v>
      </c>
      <c r="U256" s="20">
        <v>46129</v>
      </c>
    </row>
    <row r="257" spans="1:21" ht="57.95" hidden="1">
      <c r="A257" s="25" t="s">
        <v>1515</v>
      </c>
      <c r="B257" s="17" t="s">
        <v>69</v>
      </c>
      <c r="C257" s="50" t="s">
        <v>84</v>
      </c>
      <c r="D257" s="49">
        <v>46128</v>
      </c>
      <c r="E257" s="54" t="s">
        <v>127</v>
      </c>
      <c r="F257" s="54" t="s">
        <v>71</v>
      </c>
      <c r="G257" s="17" t="s">
        <v>70</v>
      </c>
      <c r="H257" s="50" t="s">
        <v>1490</v>
      </c>
      <c r="I257" s="50" t="s">
        <v>1516</v>
      </c>
      <c r="J257" s="25" t="s">
        <v>1491</v>
      </c>
      <c r="K257" s="17" t="s">
        <v>12</v>
      </c>
      <c r="L257" s="50" t="s">
        <v>84</v>
      </c>
      <c r="M257" s="17" t="s">
        <v>17</v>
      </c>
      <c r="N257" s="24" t="s">
        <v>1517</v>
      </c>
      <c r="O257" s="21" t="s">
        <v>1518</v>
      </c>
      <c r="P257" s="22" t="s">
        <v>84</v>
      </c>
      <c r="Q257" s="25" t="s">
        <v>1519</v>
      </c>
      <c r="R257" s="17" t="s">
        <v>73</v>
      </c>
      <c r="S257" s="23" t="s">
        <v>84</v>
      </c>
      <c r="T257" s="60" t="s">
        <v>84</v>
      </c>
      <c r="U257" s="20">
        <v>46128</v>
      </c>
    </row>
    <row r="258" spans="1:21" ht="144.94999999999999" hidden="1">
      <c r="A258" s="25" t="s">
        <v>1520</v>
      </c>
      <c r="B258" s="17" t="s">
        <v>72</v>
      </c>
      <c r="C258" s="50" t="s">
        <v>84</v>
      </c>
      <c r="D258" s="49">
        <v>46129</v>
      </c>
      <c r="E258" s="54" t="s">
        <v>1080</v>
      </c>
      <c r="F258" s="54" t="s">
        <v>74</v>
      </c>
      <c r="G258" s="17" t="s">
        <v>73</v>
      </c>
      <c r="H258" s="50" t="s">
        <v>1521</v>
      </c>
      <c r="I258" s="50" t="s">
        <v>84</v>
      </c>
      <c r="J258" s="25">
        <v>20252300</v>
      </c>
      <c r="K258" s="17" t="s">
        <v>10</v>
      </c>
      <c r="L258" s="50" t="s">
        <v>84</v>
      </c>
      <c r="M258" s="17" t="s">
        <v>15</v>
      </c>
      <c r="N258" s="24" t="s">
        <v>1522</v>
      </c>
      <c r="O258" s="21" t="s">
        <v>1523</v>
      </c>
      <c r="P258" s="22" t="s">
        <v>1524</v>
      </c>
      <c r="Q258" s="25" t="s">
        <v>1525</v>
      </c>
      <c r="R258" s="17"/>
      <c r="S258" s="23" t="s">
        <v>84</v>
      </c>
      <c r="T258" s="60"/>
      <c r="U258" s="20">
        <v>46169</v>
      </c>
    </row>
    <row r="259" spans="1:21" ht="29.1" hidden="1">
      <c r="A259" s="25" t="s">
        <v>1526</v>
      </c>
      <c r="B259" s="17" t="s">
        <v>72</v>
      </c>
      <c r="C259" s="50" t="s">
        <v>84</v>
      </c>
      <c r="D259" s="49">
        <v>46129</v>
      </c>
      <c r="E259" s="54" t="s">
        <v>1080</v>
      </c>
      <c r="F259" s="54" t="s">
        <v>74</v>
      </c>
      <c r="G259" s="17" t="s">
        <v>73</v>
      </c>
      <c r="H259" s="50" t="s">
        <v>1527</v>
      </c>
      <c r="I259" s="50" t="s">
        <v>84</v>
      </c>
      <c r="J259" s="25">
        <v>20252300</v>
      </c>
      <c r="K259" s="17" t="s">
        <v>10</v>
      </c>
      <c r="L259" s="50" t="s">
        <v>84</v>
      </c>
      <c r="M259" s="17" t="s">
        <v>15</v>
      </c>
      <c r="N259" s="24" t="s">
        <v>1528</v>
      </c>
      <c r="O259" s="21" t="s">
        <v>1523</v>
      </c>
      <c r="P259" s="22" t="s">
        <v>1524</v>
      </c>
      <c r="Q259" s="25"/>
      <c r="R259" s="17"/>
      <c r="S259" s="23"/>
      <c r="T259" s="60"/>
      <c r="U259" s="20"/>
    </row>
    <row r="260" spans="1:21" ht="130.5" hidden="1">
      <c r="A260" s="25" t="s">
        <v>1529</v>
      </c>
      <c r="B260" s="17" t="s">
        <v>69</v>
      </c>
      <c r="C260" s="50" t="s">
        <v>84</v>
      </c>
      <c r="D260" s="49">
        <v>46129</v>
      </c>
      <c r="E260" s="54" t="s">
        <v>1080</v>
      </c>
      <c r="F260" s="54" t="s">
        <v>74</v>
      </c>
      <c r="G260" s="17" t="s">
        <v>73</v>
      </c>
      <c r="H260" s="50" t="s">
        <v>1521</v>
      </c>
      <c r="I260" s="50" t="s">
        <v>1530</v>
      </c>
      <c r="J260" s="25" t="s">
        <v>1531</v>
      </c>
      <c r="K260" s="17" t="s">
        <v>9</v>
      </c>
      <c r="L260" s="50" t="s">
        <v>84</v>
      </c>
      <c r="M260" s="17" t="s">
        <v>19</v>
      </c>
      <c r="N260" s="115" t="s">
        <v>1532</v>
      </c>
      <c r="O260" s="115" t="s">
        <v>1533</v>
      </c>
      <c r="P260" s="22" t="s">
        <v>84</v>
      </c>
      <c r="Q260" s="22" t="s">
        <v>84</v>
      </c>
      <c r="R260" s="17" t="s">
        <v>70</v>
      </c>
      <c r="S260" s="148" t="s">
        <v>1534</v>
      </c>
      <c r="T260" s="117" t="s">
        <v>1535</v>
      </c>
      <c r="U260" s="20" t="s">
        <v>1536</v>
      </c>
    </row>
    <row r="261" spans="1:21" ht="29.1" hidden="1">
      <c r="A261" s="25" t="s">
        <v>1537</v>
      </c>
      <c r="B261" s="17" t="s">
        <v>72</v>
      </c>
      <c r="C261" s="50" t="s">
        <v>84</v>
      </c>
      <c r="D261" s="49">
        <v>46129</v>
      </c>
      <c r="E261" s="54" t="s">
        <v>1080</v>
      </c>
      <c r="F261" s="54" t="s">
        <v>74</v>
      </c>
      <c r="G261" s="17" t="s">
        <v>73</v>
      </c>
      <c r="H261" s="50" t="s">
        <v>1527</v>
      </c>
      <c r="I261" s="50" t="s">
        <v>1538</v>
      </c>
      <c r="J261" s="25" t="s">
        <v>1539</v>
      </c>
      <c r="K261" s="17" t="s">
        <v>9</v>
      </c>
      <c r="L261" s="50" t="s">
        <v>84</v>
      </c>
      <c r="M261" s="17" t="s">
        <v>19</v>
      </c>
      <c r="N261" s="24" t="s">
        <v>1540</v>
      </c>
      <c r="O261" s="21"/>
      <c r="P261" s="22"/>
      <c r="Q261" s="25"/>
      <c r="R261" s="17"/>
      <c r="S261" s="23"/>
      <c r="T261" s="60"/>
      <c r="U261" s="20"/>
    </row>
    <row r="262" spans="1:21" ht="116.1" hidden="1">
      <c r="A262" s="25" t="s">
        <v>1541</v>
      </c>
      <c r="B262" s="17" t="s">
        <v>69</v>
      </c>
      <c r="C262" s="50" t="s">
        <v>84</v>
      </c>
      <c r="D262" s="49">
        <v>46125</v>
      </c>
      <c r="E262" s="54" t="s">
        <v>1314</v>
      </c>
      <c r="F262" s="54" t="s">
        <v>74</v>
      </c>
      <c r="G262" s="17" t="s">
        <v>73</v>
      </c>
      <c r="H262" s="50" t="s">
        <v>1468</v>
      </c>
      <c r="I262" s="50" t="s">
        <v>1542</v>
      </c>
      <c r="J262" s="25" t="s">
        <v>1543</v>
      </c>
      <c r="K262" s="17" t="s">
        <v>9</v>
      </c>
      <c r="L262" s="50" t="s">
        <v>84</v>
      </c>
      <c r="M262" s="17" t="s">
        <v>19</v>
      </c>
      <c r="N262" s="24" t="s">
        <v>1544</v>
      </c>
      <c r="O262" s="21" t="s">
        <v>1545</v>
      </c>
      <c r="P262" s="22" t="s">
        <v>84</v>
      </c>
      <c r="Q262" s="25" t="s">
        <v>1546</v>
      </c>
      <c r="R262" s="17" t="s">
        <v>73</v>
      </c>
      <c r="S262" s="23" t="s">
        <v>84</v>
      </c>
      <c r="T262" s="60" t="s">
        <v>84</v>
      </c>
      <c r="U262" s="20">
        <v>46125</v>
      </c>
    </row>
    <row r="263" spans="1:21" ht="57.95" hidden="1">
      <c r="A263" s="25" t="s">
        <v>1547</v>
      </c>
      <c r="B263" s="17" t="s">
        <v>76</v>
      </c>
      <c r="C263" s="50" t="s">
        <v>84</v>
      </c>
      <c r="D263" s="49">
        <v>46113</v>
      </c>
      <c r="E263" s="54" t="s">
        <v>1286</v>
      </c>
      <c r="F263" s="54" t="s">
        <v>71</v>
      </c>
      <c r="G263" s="17" t="s">
        <v>73</v>
      </c>
      <c r="H263" s="50" t="s">
        <v>1509</v>
      </c>
      <c r="I263" s="50" t="s">
        <v>1510</v>
      </c>
      <c r="J263" s="25" t="s">
        <v>1548</v>
      </c>
      <c r="K263" s="17" t="s">
        <v>10</v>
      </c>
      <c r="L263" s="50" t="s">
        <v>84</v>
      </c>
      <c r="M263" s="17" t="s">
        <v>15</v>
      </c>
      <c r="N263" s="24" t="s">
        <v>1549</v>
      </c>
      <c r="O263" s="21" t="s">
        <v>1513</v>
      </c>
      <c r="P263" s="22" t="s">
        <v>590</v>
      </c>
      <c r="Q263" s="25" t="s">
        <v>1550</v>
      </c>
      <c r="R263" s="17" t="s">
        <v>73</v>
      </c>
      <c r="S263" s="23" t="s">
        <v>84</v>
      </c>
      <c r="T263" s="60" t="s">
        <v>84</v>
      </c>
      <c r="U263" s="20">
        <v>46133</v>
      </c>
    </row>
    <row r="264" spans="1:21" ht="101.45" hidden="1">
      <c r="A264" s="25" t="s">
        <v>1551</v>
      </c>
      <c r="B264" s="17" t="s">
        <v>72</v>
      </c>
      <c r="C264" s="50" t="s">
        <v>84</v>
      </c>
      <c r="D264" s="49" t="s">
        <v>1552</v>
      </c>
      <c r="E264" s="54" t="s">
        <v>1156</v>
      </c>
      <c r="F264" s="54" t="s">
        <v>71</v>
      </c>
      <c r="G264" s="17" t="s">
        <v>70</v>
      </c>
      <c r="H264" s="50" t="s">
        <v>9</v>
      </c>
      <c r="I264" s="50" t="s">
        <v>264</v>
      </c>
      <c r="J264" s="25" t="s">
        <v>1553</v>
      </c>
      <c r="K264" s="17" t="s">
        <v>9</v>
      </c>
      <c r="L264" s="50" t="s">
        <v>84</v>
      </c>
      <c r="M264" s="17" t="s">
        <v>19</v>
      </c>
      <c r="N264" s="24" t="s">
        <v>1554</v>
      </c>
      <c r="O264" s="24" t="s">
        <v>1555</v>
      </c>
      <c r="P264" s="22" t="s">
        <v>1556</v>
      </c>
      <c r="Q264" s="25" t="s">
        <v>1557</v>
      </c>
      <c r="R264" s="17" t="s">
        <v>70</v>
      </c>
      <c r="S264" s="102" t="s">
        <v>1558</v>
      </c>
      <c r="T264" s="67" t="s">
        <v>1559</v>
      </c>
      <c r="U264" s="20">
        <v>46140</v>
      </c>
    </row>
    <row r="265" spans="1:21" ht="43.5" hidden="1">
      <c r="A265" s="25" t="s">
        <v>1560</v>
      </c>
      <c r="B265" s="17" t="s">
        <v>69</v>
      </c>
      <c r="C265" s="50" t="s">
        <v>84</v>
      </c>
      <c r="D265" s="49">
        <v>46113</v>
      </c>
      <c r="E265" s="54" t="s">
        <v>1398</v>
      </c>
      <c r="F265" s="54" t="s">
        <v>71</v>
      </c>
      <c r="G265" s="17" t="s">
        <v>70</v>
      </c>
      <c r="H265" s="50" t="s">
        <v>364</v>
      </c>
      <c r="I265" s="50" t="s">
        <v>1561</v>
      </c>
      <c r="J265" s="25" t="s">
        <v>1562</v>
      </c>
      <c r="K265" s="17" t="s">
        <v>12</v>
      </c>
      <c r="L265" s="50" t="s">
        <v>84</v>
      </c>
      <c r="M265" s="17" t="s">
        <v>17</v>
      </c>
      <c r="N265" s="24" t="s">
        <v>1563</v>
      </c>
      <c r="O265" s="24" t="s">
        <v>1564</v>
      </c>
      <c r="P265" s="22" t="s">
        <v>84</v>
      </c>
      <c r="Q265" s="25" t="s">
        <v>1565</v>
      </c>
      <c r="R265" s="17" t="s">
        <v>73</v>
      </c>
      <c r="S265" s="23" t="s">
        <v>84</v>
      </c>
      <c r="T265" s="60" t="s">
        <v>84</v>
      </c>
      <c r="U265" s="20">
        <v>46135</v>
      </c>
    </row>
    <row r="266" spans="1:21" ht="144.94999999999999" hidden="1">
      <c r="A266" s="25" t="s">
        <v>1566</v>
      </c>
      <c r="B266" s="17" t="s">
        <v>72</v>
      </c>
      <c r="C266" s="50" t="s">
        <v>84</v>
      </c>
      <c r="D266" s="49">
        <v>46120</v>
      </c>
      <c r="E266" s="54" t="s">
        <v>1567</v>
      </c>
      <c r="F266" s="54" t="s">
        <v>74</v>
      </c>
      <c r="G266" s="17" t="s">
        <v>73</v>
      </c>
      <c r="H266" s="50" t="s">
        <v>1568</v>
      </c>
      <c r="I266" s="50" t="s">
        <v>1569</v>
      </c>
      <c r="J266" s="25">
        <v>20252300</v>
      </c>
      <c r="K266" s="17" t="s">
        <v>10</v>
      </c>
      <c r="L266" s="50" t="s">
        <v>84</v>
      </c>
      <c r="M266" s="17" t="s">
        <v>19</v>
      </c>
      <c r="N266" s="24" t="s">
        <v>1570</v>
      </c>
      <c r="O266" s="24" t="s">
        <v>1571</v>
      </c>
      <c r="P266" s="22" t="s">
        <v>84</v>
      </c>
      <c r="Q266" s="25" t="s">
        <v>1572</v>
      </c>
      <c r="R266" s="17" t="s">
        <v>73</v>
      </c>
      <c r="S266" s="23" t="s">
        <v>84</v>
      </c>
      <c r="T266" s="60" t="s">
        <v>84</v>
      </c>
      <c r="U266" s="20">
        <v>46169</v>
      </c>
    </row>
    <row r="267" spans="1:21" ht="217.5" hidden="1">
      <c r="A267" s="25" t="s">
        <v>1573</v>
      </c>
      <c r="B267" s="17" t="s">
        <v>72</v>
      </c>
      <c r="C267" s="50" t="s">
        <v>84</v>
      </c>
      <c r="D267" s="49" t="s">
        <v>1574</v>
      </c>
      <c r="E267" s="54" t="s">
        <v>1575</v>
      </c>
      <c r="F267" s="54" t="s">
        <v>71</v>
      </c>
      <c r="G267" s="17" t="s">
        <v>73</v>
      </c>
      <c r="H267" s="50" t="s">
        <v>1423</v>
      </c>
      <c r="I267" s="50" t="s">
        <v>1424</v>
      </c>
      <c r="J267" s="25">
        <v>20241189</v>
      </c>
      <c r="K267" s="17" t="s">
        <v>9</v>
      </c>
      <c r="L267" s="50" t="s">
        <v>84</v>
      </c>
      <c r="M267" s="17" t="s">
        <v>19</v>
      </c>
      <c r="N267" s="149" t="s">
        <v>1576</v>
      </c>
      <c r="O267" s="150" t="s">
        <v>1577</v>
      </c>
      <c r="P267" s="22" t="s">
        <v>84</v>
      </c>
      <c r="Q267" s="25" t="s">
        <v>1578</v>
      </c>
      <c r="R267" s="17" t="s">
        <v>73</v>
      </c>
      <c r="S267" s="23" t="s">
        <v>84</v>
      </c>
      <c r="T267" s="60" t="s">
        <v>84</v>
      </c>
      <c r="U267" s="20">
        <v>46148</v>
      </c>
    </row>
    <row r="268" spans="1:21" ht="125.45" hidden="1" customHeight="1">
      <c r="A268" s="25" t="s">
        <v>1579</v>
      </c>
      <c r="B268" s="17" t="s">
        <v>69</v>
      </c>
      <c r="C268" s="50" t="s">
        <v>84</v>
      </c>
      <c r="D268" s="49">
        <v>46140</v>
      </c>
      <c r="E268" s="54" t="s">
        <v>1567</v>
      </c>
      <c r="F268" s="54" t="s">
        <v>74</v>
      </c>
      <c r="G268" s="17" t="s">
        <v>70</v>
      </c>
      <c r="H268" s="50" t="s">
        <v>1580</v>
      </c>
      <c r="I268" s="50" t="s">
        <v>1569</v>
      </c>
      <c r="J268" s="25" t="s">
        <v>1581</v>
      </c>
      <c r="K268" s="17" t="s">
        <v>12</v>
      </c>
      <c r="L268" s="50" t="s">
        <v>84</v>
      </c>
      <c r="M268" s="17" t="s">
        <v>21</v>
      </c>
      <c r="N268" s="24" t="s">
        <v>1582</v>
      </c>
      <c r="O268" s="24" t="s">
        <v>1583</v>
      </c>
      <c r="P268" s="22"/>
      <c r="Q268" s="25" t="s">
        <v>1584</v>
      </c>
      <c r="R268" s="17"/>
      <c r="S268" s="23"/>
      <c r="T268" s="60"/>
      <c r="U268" s="20"/>
    </row>
    <row r="269" spans="1:21" s="58" customFormat="1" ht="43.5" hidden="1">
      <c r="A269" s="29" t="s">
        <v>1585</v>
      </c>
      <c r="B269" s="33" t="s">
        <v>69</v>
      </c>
      <c r="C269" s="50" t="s">
        <v>84</v>
      </c>
      <c r="D269" s="107">
        <v>46140</v>
      </c>
      <c r="E269" s="108" t="s">
        <v>1567</v>
      </c>
      <c r="F269" s="108" t="s">
        <v>74</v>
      </c>
      <c r="G269" s="33" t="s">
        <v>70</v>
      </c>
      <c r="H269" s="151" t="s">
        <v>1580</v>
      </c>
      <c r="I269" s="151" t="s">
        <v>1569</v>
      </c>
      <c r="J269" s="29" t="s">
        <v>1581</v>
      </c>
      <c r="K269" s="33" t="s">
        <v>12</v>
      </c>
      <c r="L269" s="50" t="s">
        <v>84</v>
      </c>
      <c r="M269" s="33" t="s">
        <v>21</v>
      </c>
      <c r="N269" s="35"/>
      <c r="O269" s="35"/>
      <c r="P269" s="139"/>
      <c r="Q269" s="29" t="s">
        <v>1586</v>
      </c>
      <c r="R269" s="33"/>
      <c r="S269" s="133"/>
      <c r="T269" s="113"/>
      <c r="U269" s="31"/>
    </row>
    <row r="270" spans="1:21" s="58" customFormat="1" ht="43.5" hidden="1">
      <c r="A270" s="29" t="s">
        <v>1587</v>
      </c>
      <c r="B270" s="33" t="s">
        <v>69</v>
      </c>
      <c r="C270" s="50" t="s">
        <v>84</v>
      </c>
      <c r="D270" s="107">
        <v>46140</v>
      </c>
      <c r="E270" s="108" t="s">
        <v>1567</v>
      </c>
      <c r="F270" s="108" t="s">
        <v>74</v>
      </c>
      <c r="G270" s="33" t="s">
        <v>70</v>
      </c>
      <c r="H270" s="151" t="s">
        <v>1580</v>
      </c>
      <c r="I270" s="151" t="s">
        <v>1569</v>
      </c>
      <c r="J270" s="29" t="s">
        <v>1581</v>
      </c>
      <c r="K270" s="33" t="s">
        <v>12</v>
      </c>
      <c r="L270" s="50" t="s">
        <v>84</v>
      </c>
      <c r="M270" s="33" t="s">
        <v>16</v>
      </c>
      <c r="N270" s="35"/>
      <c r="O270" s="35"/>
      <c r="P270" s="139"/>
      <c r="Q270" s="29" t="s">
        <v>1588</v>
      </c>
      <c r="R270" s="33"/>
      <c r="S270" s="133"/>
      <c r="T270" s="113"/>
      <c r="U270" s="31"/>
    </row>
    <row r="271" spans="1:21" s="58" customFormat="1" ht="43.5" hidden="1">
      <c r="A271" s="29" t="s">
        <v>1589</v>
      </c>
      <c r="B271" s="33" t="s">
        <v>69</v>
      </c>
      <c r="C271" s="50" t="s">
        <v>84</v>
      </c>
      <c r="D271" s="107">
        <v>46140</v>
      </c>
      <c r="E271" s="108" t="s">
        <v>1567</v>
      </c>
      <c r="F271" s="108" t="s">
        <v>74</v>
      </c>
      <c r="G271" s="33" t="s">
        <v>70</v>
      </c>
      <c r="H271" s="151" t="s">
        <v>1580</v>
      </c>
      <c r="I271" s="151" t="s">
        <v>1569</v>
      </c>
      <c r="J271" s="29" t="s">
        <v>1581</v>
      </c>
      <c r="K271" s="33" t="s">
        <v>12</v>
      </c>
      <c r="L271" s="50" t="s">
        <v>84</v>
      </c>
      <c r="M271" s="33" t="s">
        <v>21</v>
      </c>
      <c r="N271" s="35"/>
      <c r="O271" s="35"/>
      <c r="P271" s="139"/>
      <c r="Q271" s="29" t="s">
        <v>1586</v>
      </c>
      <c r="R271" s="33"/>
      <c r="S271" s="133"/>
      <c r="T271" s="113"/>
      <c r="U271" s="31"/>
    </row>
    <row r="272" spans="1:21" ht="57.95" hidden="1">
      <c r="A272" s="25" t="s">
        <v>1590</v>
      </c>
      <c r="B272" s="17" t="s">
        <v>69</v>
      </c>
      <c r="C272" s="50" t="s">
        <v>84</v>
      </c>
      <c r="D272" s="49">
        <v>46087</v>
      </c>
      <c r="E272" s="54" t="s">
        <v>911</v>
      </c>
      <c r="F272" s="54" t="s">
        <v>71</v>
      </c>
      <c r="G272" s="17" t="s">
        <v>70</v>
      </c>
      <c r="H272" s="50" t="s">
        <v>1591</v>
      </c>
      <c r="I272" s="50" t="s">
        <v>1368</v>
      </c>
      <c r="J272" s="25" t="s">
        <v>1592</v>
      </c>
      <c r="K272" s="51" t="s">
        <v>12</v>
      </c>
      <c r="L272" s="50" t="s">
        <v>84</v>
      </c>
      <c r="M272" s="17" t="s">
        <v>17</v>
      </c>
      <c r="N272" s="140" t="s">
        <v>1593</v>
      </c>
      <c r="O272" s="140" t="s">
        <v>1238</v>
      </c>
      <c r="P272" s="22">
        <v>0</v>
      </c>
      <c r="Q272" s="25" t="s">
        <v>1239</v>
      </c>
      <c r="R272" s="17" t="s">
        <v>73</v>
      </c>
      <c r="S272" s="23" t="s">
        <v>84</v>
      </c>
      <c r="T272" s="60" t="s">
        <v>84</v>
      </c>
      <c r="U272" s="20">
        <v>46099</v>
      </c>
    </row>
    <row r="273" spans="1:21" ht="57.95" hidden="1">
      <c r="A273" s="25" t="s">
        <v>1594</v>
      </c>
      <c r="B273" s="17" t="s">
        <v>69</v>
      </c>
      <c r="C273" s="50" t="s">
        <v>84</v>
      </c>
      <c r="D273" s="49">
        <v>46110</v>
      </c>
      <c r="E273" s="54" t="s">
        <v>911</v>
      </c>
      <c r="F273" s="54" t="s">
        <v>71</v>
      </c>
      <c r="G273" s="17" t="s">
        <v>70</v>
      </c>
      <c r="H273" s="50" t="s">
        <v>391</v>
      </c>
      <c r="I273" s="50" t="s">
        <v>1595</v>
      </c>
      <c r="J273" s="25">
        <v>20252673</v>
      </c>
      <c r="K273" s="51" t="s">
        <v>12</v>
      </c>
      <c r="L273" s="50" t="s">
        <v>84</v>
      </c>
      <c r="M273" s="17" t="s">
        <v>17</v>
      </c>
      <c r="N273" s="140" t="s">
        <v>1596</v>
      </c>
      <c r="O273" s="140" t="s">
        <v>1238</v>
      </c>
      <c r="P273" s="22">
        <v>0</v>
      </c>
      <c r="Q273" s="25" t="s">
        <v>1239</v>
      </c>
      <c r="R273" s="17" t="s">
        <v>73</v>
      </c>
      <c r="S273" s="23" t="s">
        <v>84</v>
      </c>
      <c r="T273" s="60" t="s">
        <v>84</v>
      </c>
      <c r="U273" s="20">
        <v>46146</v>
      </c>
    </row>
    <row r="274" spans="1:21" ht="57.95" hidden="1">
      <c r="A274" s="25" t="s">
        <v>1597</v>
      </c>
      <c r="B274" s="17" t="s">
        <v>69</v>
      </c>
      <c r="C274" s="50" t="s">
        <v>84</v>
      </c>
      <c r="D274" s="49">
        <v>46116</v>
      </c>
      <c r="E274" s="54" t="s">
        <v>911</v>
      </c>
      <c r="F274" s="54" t="s">
        <v>71</v>
      </c>
      <c r="G274" s="17" t="s">
        <v>70</v>
      </c>
      <c r="H274" s="50" t="s">
        <v>1598</v>
      </c>
      <c r="I274" s="50" t="s">
        <v>1595</v>
      </c>
      <c r="J274" s="25">
        <v>20253388</v>
      </c>
      <c r="K274" s="51" t="s">
        <v>12</v>
      </c>
      <c r="L274" s="50" t="s">
        <v>84</v>
      </c>
      <c r="M274" s="17" t="s">
        <v>17</v>
      </c>
      <c r="N274" s="140" t="s">
        <v>1599</v>
      </c>
      <c r="O274" s="140" t="s">
        <v>1238</v>
      </c>
      <c r="P274" s="22">
        <v>0</v>
      </c>
      <c r="Q274" s="25" t="s">
        <v>1239</v>
      </c>
      <c r="R274" s="17" t="s">
        <v>73</v>
      </c>
      <c r="S274" s="23" t="s">
        <v>84</v>
      </c>
      <c r="T274" s="60" t="s">
        <v>84</v>
      </c>
      <c r="U274" s="20">
        <v>46134</v>
      </c>
    </row>
    <row r="275" spans="1:21" ht="57.95" hidden="1">
      <c r="A275" s="25" t="s">
        <v>1600</v>
      </c>
      <c r="B275" s="17" t="s">
        <v>69</v>
      </c>
      <c r="C275" s="50" t="s">
        <v>84</v>
      </c>
      <c r="D275" s="49">
        <v>46136</v>
      </c>
      <c r="E275" s="54" t="s">
        <v>911</v>
      </c>
      <c r="F275" s="54" t="s">
        <v>71</v>
      </c>
      <c r="G275" s="17" t="s">
        <v>70</v>
      </c>
      <c r="H275" s="50" t="s">
        <v>1601</v>
      </c>
      <c r="I275" s="50" t="s">
        <v>87</v>
      </c>
      <c r="J275" s="25">
        <v>20253334</v>
      </c>
      <c r="K275" s="51" t="s">
        <v>12</v>
      </c>
      <c r="L275" s="50" t="s">
        <v>84</v>
      </c>
      <c r="M275" s="17" t="s">
        <v>17</v>
      </c>
      <c r="N275" s="140" t="s">
        <v>1602</v>
      </c>
      <c r="O275" s="140" t="s">
        <v>1238</v>
      </c>
      <c r="P275" s="22">
        <v>0</v>
      </c>
      <c r="Q275" s="25" t="s">
        <v>1239</v>
      </c>
      <c r="R275" s="17" t="s">
        <v>73</v>
      </c>
      <c r="S275" s="23" t="s">
        <v>84</v>
      </c>
      <c r="T275" s="60" t="s">
        <v>84</v>
      </c>
      <c r="U275" s="20">
        <v>46142</v>
      </c>
    </row>
    <row r="276" spans="1:21" ht="57.95" hidden="1">
      <c r="A276" s="25" t="s">
        <v>1603</v>
      </c>
      <c r="B276" s="17" t="s">
        <v>69</v>
      </c>
      <c r="C276" s="50" t="s">
        <v>84</v>
      </c>
      <c r="D276" s="49">
        <v>46142</v>
      </c>
      <c r="E276" s="54" t="s">
        <v>911</v>
      </c>
      <c r="F276" s="54" t="s">
        <v>71</v>
      </c>
      <c r="G276" s="17" t="s">
        <v>70</v>
      </c>
      <c r="H276" s="50" t="s">
        <v>1604</v>
      </c>
      <c r="I276" s="50" t="s">
        <v>1595</v>
      </c>
      <c r="J276" s="25">
        <v>20253388</v>
      </c>
      <c r="K276" s="51" t="s">
        <v>12</v>
      </c>
      <c r="L276" s="50" t="s">
        <v>84</v>
      </c>
      <c r="M276" s="17" t="s">
        <v>17</v>
      </c>
      <c r="N276" s="140" t="s">
        <v>1605</v>
      </c>
      <c r="O276" s="140" t="s">
        <v>1238</v>
      </c>
      <c r="P276" s="22">
        <v>0</v>
      </c>
      <c r="Q276" s="25" t="s">
        <v>1239</v>
      </c>
      <c r="R276" s="17" t="s">
        <v>73</v>
      </c>
      <c r="S276" s="23" t="s">
        <v>84</v>
      </c>
      <c r="T276" s="60" t="s">
        <v>84</v>
      </c>
      <c r="U276" s="20">
        <v>46142</v>
      </c>
    </row>
    <row r="277" spans="1:21" ht="87" hidden="1">
      <c r="A277" s="25" t="s">
        <v>1606</v>
      </c>
      <c r="B277" s="17" t="s">
        <v>76</v>
      </c>
      <c r="C277" s="50" t="s">
        <v>84</v>
      </c>
      <c r="D277" s="49">
        <v>46143</v>
      </c>
      <c r="E277" s="54" t="s">
        <v>370</v>
      </c>
      <c r="F277" s="54" t="s">
        <v>71</v>
      </c>
      <c r="G277" s="17" t="s">
        <v>73</v>
      </c>
      <c r="H277" s="50" t="s">
        <v>1607</v>
      </c>
      <c r="I277" s="50" t="s">
        <v>216</v>
      </c>
      <c r="J277" s="25">
        <v>20250342</v>
      </c>
      <c r="K277" s="17" t="s">
        <v>10</v>
      </c>
      <c r="L277" s="50" t="s">
        <v>84</v>
      </c>
      <c r="M277" s="17" t="s">
        <v>15</v>
      </c>
      <c r="N277" s="24" t="s">
        <v>1608</v>
      </c>
      <c r="O277" s="21" t="s">
        <v>1609</v>
      </c>
      <c r="P277" s="22" t="s">
        <v>84</v>
      </c>
      <c r="Q277" s="25" t="s">
        <v>1610</v>
      </c>
      <c r="R277" s="17" t="s">
        <v>73</v>
      </c>
      <c r="S277" s="23" t="s">
        <v>84</v>
      </c>
      <c r="T277" s="60" t="s">
        <v>84</v>
      </c>
      <c r="U277" s="20">
        <v>46149</v>
      </c>
    </row>
    <row r="278" spans="1:21" ht="14.45" hidden="1">
      <c r="A278" s="25" t="s">
        <v>1611</v>
      </c>
      <c r="B278" s="17" t="s">
        <v>69</v>
      </c>
      <c r="C278" s="50" t="s">
        <v>84</v>
      </c>
      <c r="D278" s="49">
        <v>46149</v>
      </c>
      <c r="E278" s="54" t="s">
        <v>1567</v>
      </c>
      <c r="F278" s="54" t="s">
        <v>74</v>
      </c>
      <c r="G278" s="17" t="s">
        <v>70</v>
      </c>
      <c r="H278" s="50" t="s">
        <v>1612</v>
      </c>
      <c r="I278" s="50" t="s">
        <v>1569</v>
      </c>
      <c r="J278" s="25"/>
      <c r="K278" s="17"/>
      <c r="L278" s="50" t="s">
        <v>84</v>
      </c>
      <c r="M278" s="17"/>
      <c r="N278" s="24"/>
      <c r="O278" s="21"/>
      <c r="P278" s="22"/>
      <c r="Q278" s="25"/>
      <c r="R278" s="17"/>
      <c r="S278" s="23"/>
      <c r="T278" s="60"/>
      <c r="U278" s="20"/>
    </row>
    <row r="279" spans="1:21" ht="101.45" hidden="1">
      <c r="A279" s="56" t="s">
        <v>1613</v>
      </c>
      <c r="B279" s="39" t="s">
        <v>76</v>
      </c>
      <c r="C279" s="50" t="s">
        <v>84</v>
      </c>
      <c r="D279" s="152">
        <v>46007</v>
      </c>
      <c r="E279" s="153" t="s">
        <v>370</v>
      </c>
      <c r="F279" s="153" t="s">
        <v>71</v>
      </c>
      <c r="G279" s="39" t="s">
        <v>73</v>
      </c>
      <c r="H279" s="154" t="s">
        <v>1614</v>
      </c>
      <c r="I279" s="154" t="s">
        <v>87</v>
      </c>
      <c r="J279" s="56">
        <v>20220913</v>
      </c>
      <c r="K279" s="39" t="s">
        <v>10</v>
      </c>
      <c r="L279" s="50" t="s">
        <v>84</v>
      </c>
      <c r="M279" s="39" t="s">
        <v>15</v>
      </c>
      <c r="N279" s="155" t="s">
        <v>1615</v>
      </c>
      <c r="O279" s="42" t="s">
        <v>1609</v>
      </c>
      <c r="P279" s="41" t="s">
        <v>84</v>
      </c>
      <c r="Q279" s="56" t="s">
        <v>1616</v>
      </c>
      <c r="R279" s="39"/>
      <c r="S279" s="156"/>
      <c r="T279" s="62"/>
      <c r="U279" s="40">
        <v>46161</v>
      </c>
    </row>
    <row r="280" spans="1:21" ht="87" hidden="1">
      <c r="A280" s="29" t="s">
        <v>1617</v>
      </c>
      <c r="B280" s="33" t="s">
        <v>72</v>
      </c>
      <c r="C280" s="50" t="s">
        <v>84</v>
      </c>
      <c r="D280" s="164">
        <v>46153</v>
      </c>
      <c r="E280" s="151" t="s">
        <v>370</v>
      </c>
      <c r="F280" s="151" t="s">
        <v>71</v>
      </c>
      <c r="G280" s="33" t="s">
        <v>70</v>
      </c>
      <c r="H280" s="151" t="s">
        <v>1580</v>
      </c>
      <c r="I280" s="151" t="s">
        <v>87</v>
      </c>
      <c r="J280" s="29" t="s">
        <v>1581</v>
      </c>
      <c r="K280" s="33" t="s">
        <v>8</v>
      </c>
      <c r="L280" s="50" t="s">
        <v>84</v>
      </c>
      <c r="M280" s="33" t="s">
        <v>17</v>
      </c>
      <c r="N280" s="165" t="s">
        <v>1618</v>
      </c>
      <c r="O280" s="132" t="s">
        <v>1619</v>
      </c>
      <c r="P280" s="139"/>
      <c r="Q280" s="29" t="s">
        <v>1620</v>
      </c>
      <c r="R280" s="17"/>
      <c r="S280" s="17"/>
      <c r="T280" s="60"/>
      <c r="U280" s="121" t="s">
        <v>1621</v>
      </c>
    </row>
    <row r="281" spans="1:21" ht="43.5" hidden="1">
      <c r="A281" s="25" t="s">
        <v>1622</v>
      </c>
      <c r="B281" s="17" t="s">
        <v>69</v>
      </c>
      <c r="C281" s="50" t="s">
        <v>84</v>
      </c>
      <c r="D281" s="121">
        <v>46150</v>
      </c>
      <c r="E281" s="50" t="s">
        <v>127</v>
      </c>
      <c r="F281" s="50" t="s">
        <v>71</v>
      </c>
      <c r="G281" s="17" t="s">
        <v>70</v>
      </c>
      <c r="H281" s="50" t="s">
        <v>1497</v>
      </c>
      <c r="I281" s="50" t="s">
        <v>308</v>
      </c>
      <c r="J281" s="25">
        <v>20252667</v>
      </c>
      <c r="K281" s="17" t="s">
        <v>9</v>
      </c>
      <c r="L281" s="50" t="s">
        <v>84</v>
      </c>
      <c r="M281" s="17" t="s">
        <v>17</v>
      </c>
      <c r="N281" s="24" t="s">
        <v>1623</v>
      </c>
      <c r="O281" s="21" t="s">
        <v>1624</v>
      </c>
      <c r="P281" s="22"/>
      <c r="Q281" s="25" t="s">
        <v>1625</v>
      </c>
      <c r="R281" s="17"/>
      <c r="S281" s="17"/>
      <c r="T281" s="60"/>
      <c r="U281" s="20" t="s">
        <v>1448</v>
      </c>
    </row>
    <row r="282" spans="1:21" ht="101.45" hidden="1">
      <c r="A282" s="25" t="s">
        <v>1626</v>
      </c>
      <c r="B282" s="17" t="s">
        <v>69</v>
      </c>
      <c r="C282" s="50" t="s">
        <v>84</v>
      </c>
      <c r="D282" s="121">
        <v>46147</v>
      </c>
      <c r="E282" s="50" t="s">
        <v>127</v>
      </c>
      <c r="F282" s="50" t="s">
        <v>71</v>
      </c>
      <c r="G282" s="17" t="s">
        <v>73</v>
      </c>
      <c r="H282" s="171" t="s">
        <v>1627</v>
      </c>
      <c r="I282" s="50" t="s">
        <v>1628</v>
      </c>
      <c r="J282" s="25">
        <v>20253084</v>
      </c>
      <c r="K282" s="17" t="s">
        <v>9</v>
      </c>
      <c r="L282" s="50" t="s">
        <v>84</v>
      </c>
      <c r="M282" s="17" t="s">
        <v>17</v>
      </c>
      <c r="N282" s="24" t="s">
        <v>1629</v>
      </c>
      <c r="O282" s="187" t="s">
        <v>1630</v>
      </c>
      <c r="P282" s="22" t="s">
        <v>1631</v>
      </c>
      <c r="Q282" s="25" t="s">
        <v>1632</v>
      </c>
      <c r="R282" s="17"/>
      <c r="S282" s="17"/>
      <c r="T282" s="60"/>
      <c r="U282" s="20" t="s">
        <v>1448</v>
      </c>
    </row>
    <row r="283" spans="1:21" ht="29.1" hidden="1">
      <c r="A283" s="25" t="s">
        <v>1633</v>
      </c>
      <c r="B283" s="17" t="s">
        <v>69</v>
      </c>
      <c r="C283" s="50" t="s">
        <v>84</v>
      </c>
      <c r="D283" s="121">
        <v>46153</v>
      </c>
      <c r="E283" s="50" t="s">
        <v>127</v>
      </c>
      <c r="F283" s="50" t="s">
        <v>71</v>
      </c>
      <c r="G283" s="17" t="s">
        <v>70</v>
      </c>
      <c r="H283" s="50" t="s">
        <v>1502</v>
      </c>
      <c r="I283" s="50" t="s">
        <v>1595</v>
      </c>
      <c r="J283" s="25">
        <v>20253388</v>
      </c>
      <c r="K283" s="17" t="s">
        <v>9</v>
      </c>
      <c r="L283" s="50" t="s">
        <v>84</v>
      </c>
      <c r="M283" s="17" t="s">
        <v>17</v>
      </c>
      <c r="N283" s="24" t="s">
        <v>1634</v>
      </c>
      <c r="O283" s="21" t="s">
        <v>1635</v>
      </c>
      <c r="P283" s="22" t="s">
        <v>84</v>
      </c>
      <c r="Q283" s="25" t="s">
        <v>1636</v>
      </c>
      <c r="R283" s="17" t="s">
        <v>73</v>
      </c>
      <c r="S283" s="17" t="s">
        <v>84</v>
      </c>
      <c r="T283" s="60" t="s">
        <v>84</v>
      </c>
      <c r="U283" s="20">
        <v>46154</v>
      </c>
    </row>
    <row r="284" spans="1:21" ht="43.5" hidden="1">
      <c r="A284" s="25" t="s">
        <v>1637</v>
      </c>
      <c r="B284" s="17" t="s">
        <v>69</v>
      </c>
      <c r="C284" s="50" t="s">
        <v>84</v>
      </c>
      <c r="D284" s="121">
        <v>46153</v>
      </c>
      <c r="E284" s="50" t="s">
        <v>127</v>
      </c>
      <c r="F284" s="50" t="s">
        <v>71</v>
      </c>
      <c r="G284" s="17" t="s">
        <v>70</v>
      </c>
      <c r="H284" s="50" t="s">
        <v>1612</v>
      </c>
      <c r="I284" s="50" t="s">
        <v>1595</v>
      </c>
      <c r="J284" s="25">
        <v>20253388</v>
      </c>
      <c r="K284" s="17" t="s">
        <v>10</v>
      </c>
      <c r="L284" s="50" t="s">
        <v>84</v>
      </c>
      <c r="M284" s="17" t="s">
        <v>16</v>
      </c>
      <c r="N284" s="150" t="s">
        <v>1638</v>
      </c>
      <c r="O284" s="21" t="s">
        <v>1639</v>
      </c>
      <c r="P284" s="22"/>
      <c r="Q284" s="25" t="s">
        <v>1640</v>
      </c>
      <c r="R284" s="17" t="s">
        <v>70</v>
      </c>
      <c r="S284" s="17"/>
      <c r="T284" s="60"/>
      <c r="U284" s="20" t="s">
        <v>1448</v>
      </c>
    </row>
    <row r="285" spans="1:21" ht="57.95" hidden="1">
      <c r="A285" s="25" t="s">
        <v>1641</v>
      </c>
      <c r="B285" s="17" t="s">
        <v>72</v>
      </c>
      <c r="C285" s="50" t="s">
        <v>84</v>
      </c>
      <c r="D285" s="121">
        <v>46147</v>
      </c>
      <c r="E285" s="54" t="s">
        <v>85</v>
      </c>
      <c r="F285" s="54" t="s">
        <v>71</v>
      </c>
      <c r="G285" s="17" t="s">
        <v>73</v>
      </c>
      <c r="H285" s="50" t="s">
        <v>1642</v>
      </c>
      <c r="I285" s="54" t="s">
        <v>87</v>
      </c>
      <c r="J285" s="68">
        <v>20251025</v>
      </c>
      <c r="K285" s="17" t="s">
        <v>8</v>
      </c>
      <c r="L285" s="50" t="s">
        <v>84</v>
      </c>
      <c r="M285" s="17" t="s">
        <v>17</v>
      </c>
      <c r="N285" s="24" t="s">
        <v>1643</v>
      </c>
      <c r="O285" s="24" t="s">
        <v>1644</v>
      </c>
      <c r="P285" s="22" t="s">
        <v>84</v>
      </c>
      <c r="Q285" s="25" t="s">
        <v>1645</v>
      </c>
      <c r="R285" s="17" t="s">
        <v>73</v>
      </c>
      <c r="S285" s="23"/>
      <c r="T285" s="60"/>
      <c r="U285" s="20">
        <v>46190</v>
      </c>
    </row>
    <row r="286" spans="1:21" ht="57.95" hidden="1">
      <c r="A286" s="25" t="s">
        <v>1646</v>
      </c>
      <c r="B286" s="17" t="s">
        <v>72</v>
      </c>
      <c r="C286" s="17" t="s">
        <v>73</v>
      </c>
      <c r="D286" s="121">
        <v>46153</v>
      </c>
      <c r="E286" s="50" t="s">
        <v>1647</v>
      </c>
      <c r="F286" s="50" t="s">
        <v>71</v>
      </c>
      <c r="G286" s="17" t="s">
        <v>73</v>
      </c>
      <c r="H286" s="50" t="s">
        <v>1648</v>
      </c>
      <c r="I286" s="50" t="s">
        <v>138</v>
      </c>
      <c r="J286" s="25">
        <v>20250653</v>
      </c>
      <c r="K286" s="17" t="s">
        <v>12</v>
      </c>
      <c r="L286" s="17" t="s">
        <v>1649</v>
      </c>
      <c r="M286" s="17" t="s">
        <v>16</v>
      </c>
      <c r="N286" s="24" t="s">
        <v>1650</v>
      </c>
      <c r="O286" s="24" t="s">
        <v>1651</v>
      </c>
      <c r="P286" s="22" t="s">
        <v>1652</v>
      </c>
      <c r="Q286" s="25" t="s">
        <v>1653</v>
      </c>
      <c r="R286" s="17" t="s">
        <v>73</v>
      </c>
      <c r="S286" s="17" t="s">
        <v>84</v>
      </c>
      <c r="T286" s="60" t="s">
        <v>84</v>
      </c>
      <c r="U286" s="20" t="s">
        <v>1448</v>
      </c>
    </row>
    <row r="287" spans="1:21" ht="29.1" hidden="1">
      <c r="A287" s="157" t="s">
        <v>1654</v>
      </c>
      <c r="B287" s="158" t="s">
        <v>69</v>
      </c>
      <c r="C287" s="158" t="s">
        <v>73</v>
      </c>
      <c r="D287" s="159" t="s">
        <v>1655</v>
      </c>
      <c r="E287" s="160" t="s">
        <v>1080</v>
      </c>
      <c r="F287" s="160" t="s">
        <v>74</v>
      </c>
      <c r="G287" s="158" t="s">
        <v>73</v>
      </c>
      <c r="H287" s="161" t="s">
        <v>84</v>
      </c>
      <c r="I287" s="161" t="s">
        <v>84</v>
      </c>
      <c r="J287" s="157" t="s">
        <v>84</v>
      </c>
      <c r="K287" s="158" t="s">
        <v>9</v>
      </c>
      <c r="L287" s="158" t="s">
        <v>84</v>
      </c>
      <c r="M287" s="158" t="s">
        <v>19</v>
      </c>
      <c r="N287" s="162" t="s">
        <v>1656</v>
      </c>
      <c r="O287" s="162" t="s">
        <v>1657</v>
      </c>
      <c r="P287" s="22" t="s">
        <v>84</v>
      </c>
      <c r="Q287" s="157" t="s">
        <v>1658</v>
      </c>
      <c r="R287" s="158" t="s">
        <v>73</v>
      </c>
      <c r="S287" s="17" t="s">
        <v>84</v>
      </c>
      <c r="T287" s="60" t="s">
        <v>84</v>
      </c>
      <c r="U287" s="163" t="s">
        <v>1655</v>
      </c>
    </row>
    <row r="288" spans="1:21" ht="144.94999999999999" hidden="1">
      <c r="A288" s="25" t="s">
        <v>1659</v>
      </c>
      <c r="B288" s="17" t="s">
        <v>77</v>
      </c>
      <c r="C288" s="17" t="s">
        <v>73</v>
      </c>
      <c r="D288" s="49">
        <v>46097</v>
      </c>
      <c r="E288" s="54" t="s">
        <v>1286</v>
      </c>
      <c r="F288" s="54" t="s">
        <v>71</v>
      </c>
      <c r="G288" s="17" t="s">
        <v>70</v>
      </c>
      <c r="H288" s="50" t="s">
        <v>1660</v>
      </c>
      <c r="I288" s="50" t="s">
        <v>84</v>
      </c>
      <c r="J288" s="25" t="s">
        <v>84</v>
      </c>
      <c r="K288" s="17" t="s">
        <v>10</v>
      </c>
      <c r="L288" s="17" t="s">
        <v>1660</v>
      </c>
      <c r="M288" s="17" t="s">
        <v>19</v>
      </c>
      <c r="N288" s="24" t="s">
        <v>1661</v>
      </c>
      <c r="O288" s="21" t="s">
        <v>1662</v>
      </c>
      <c r="P288" s="22" t="s">
        <v>1662</v>
      </c>
      <c r="Q288" s="25" t="s">
        <v>1662</v>
      </c>
      <c r="R288" s="158" t="s">
        <v>73</v>
      </c>
      <c r="S288" s="17" t="s">
        <v>84</v>
      </c>
      <c r="T288" s="60" t="s">
        <v>84</v>
      </c>
      <c r="U288" s="20"/>
    </row>
    <row r="289" spans="1:201" ht="72.599999999999994" hidden="1">
      <c r="A289" s="25" t="s">
        <v>1663</v>
      </c>
      <c r="B289" s="17" t="s">
        <v>77</v>
      </c>
      <c r="C289" s="17" t="s">
        <v>73</v>
      </c>
      <c r="D289" s="13">
        <v>46141</v>
      </c>
      <c r="E289" s="54" t="s">
        <v>1647</v>
      </c>
      <c r="F289" s="54" t="s">
        <v>71</v>
      </c>
      <c r="G289" s="17" t="s">
        <v>73</v>
      </c>
      <c r="H289" s="50" t="s">
        <v>228</v>
      </c>
      <c r="I289" s="50" t="s">
        <v>138</v>
      </c>
      <c r="J289" s="25">
        <v>20251052</v>
      </c>
      <c r="K289" s="17" t="s">
        <v>12</v>
      </c>
      <c r="L289" s="17" t="s">
        <v>1664</v>
      </c>
      <c r="M289" s="17" t="s">
        <v>19</v>
      </c>
      <c r="N289" s="24" t="s">
        <v>1665</v>
      </c>
      <c r="O289" s="24" t="s">
        <v>1666</v>
      </c>
      <c r="P289" s="22" t="s">
        <v>84</v>
      </c>
      <c r="Q289" s="25" t="s">
        <v>1667</v>
      </c>
      <c r="R289" s="17" t="s">
        <v>73</v>
      </c>
      <c r="S289" s="23" t="s">
        <v>73</v>
      </c>
      <c r="T289" s="60" t="s">
        <v>73</v>
      </c>
      <c r="U289" s="20" t="s">
        <v>1448</v>
      </c>
    </row>
    <row r="290" spans="1:201" ht="43.5" hidden="1">
      <c r="A290" s="25" t="s">
        <v>1668</v>
      </c>
      <c r="B290" s="17" t="s">
        <v>69</v>
      </c>
      <c r="C290" s="17" t="s">
        <v>73</v>
      </c>
      <c r="D290" s="49">
        <v>46185</v>
      </c>
      <c r="E290" s="54" t="s">
        <v>1398</v>
      </c>
      <c r="F290" s="54" t="s">
        <v>71</v>
      </c>
      <c r="G290" s="17" t="s">
        <v>70</v>
      </c>
      <c r="H290" s="50" t="s">
        <v>182</v>
      </c>
      <c r="I290" s="50" t="s">
        <v>1561</v>
      </c>
      <c r="J290" s="25" t="s">
        <v>1669</v>
      </c>
      <c r="K290" s="17" t="s">
        <v>11</v>
      </c>
      <c r="L290" s="17" t="s">
        <v>182</v>
      </c>
      <c r="M290" s="49" t="s">
        <v>19</v>
      </c>
      <c r="N290" s="24" t="s">
        <v>1670</v>
      </c>
      <c r="O290" s="21" t="s">
        <v>1671</v>
      </c>
      <c r="P290" s="22" t="s">
        <v>1671</v>
      </c>
      <c r="Q290" s="25" t="s">
        <v>1672</v>
      </c>
      <c r="R290" s="17" t="s">
        <v>73</v>
      </c>
      <c r="S290" s="23" t="s">
        <v>84</v>
      </c>
      <c r="T290" s="60"/>
      <c r="U290" s="20"/>
    </row>
    <row r="291" spans="1:201" ht="43.5" hidden="1">
      <c r="A291" s="25" t="s">
        <v>1673</v>
      </c>
      <c r="B291" s="17" t="s">
        <v>72</v>
      </c>
      <c r="C291" s="17" t="s">
        <v>73</v>
      </c>
      <c r="D291" s="49">
        <v>46176</v>
      </c>
      <c r="E291" s="54" t="s">
        <v>653</v>
      </c>
      <c r="F291" s="54" t="s">
        <v>71</v>
      </c>
      <c r="G291" s="17" t="s">
        <v>73</v>
      </c>
      <c r="H291" s="50" t="s">
        <v>295</v>
      </c>
      <c r="I291" s="50" t="s">
        <v>138</v>
      </c>
      <c r="J291" s="25">
        <v>20252942</v>
      </c>
      <c r="K291" s="17" t="s">
        <v>11</v>
      </c>
      <c r="L291" s="17" t="s">
        <v>295</v>
      </c>
      <c r="M291" s="17" t="s">
        <v>16</v>
      </c>
      <c r="N291" s="24" t="s">
        <v>1674</v>
      </c>
      <c r="O291" s="21" t="s">
        <v>1675</v>
      </c>
      <c r="P291" s="22" t="s">
        <v>1676</v>
      </c>
      <c r="Q291" s="25" t="s">
        <v>1677</v>
      </c>
      <c r="R291" s="17" t="s">
        <v>73</v>
      </c>
      <c r="S291" s="23" t="s">
        <v>84</v>
      </c>
      <c r="T291" s="60" t="s">
        <v>73</v>
      </c>
      <c r="U291" s="20">
        <v>46196</v>
      </c>
    </row>
    <row r="292" spans="1:201" ht="72.599999999999994" hidden="1">
      <c r="A292" s="25" t="s">
        <v>1678</v>
      </c>
      <c r="B292" s="17" t="s">
        <v>77</v>
      </c>
      <c r="C292" s="17" t="s">
        <v>73</v>
      </c>
      <c r="D292" s="49">
        <v>46196</v>
      </c>
      <c r="E292" s="54" t="s">
        <v>1647</v>
      </c>
      <c r="F292" s="54" t="s">
        <v>71</v>
      </c>
      <c r="G292" s="17" t="s">
        <v>73</v>
      </c>
      <c r="H292" s="50" t="s">
        <v>1679</v>
      </c>
      <c r="I292" s="50" t="s">
        <v>138</v>
      </c>
      <c r="J292" s="25" t="s">
        <v>1680</v>
      </c>
      <c r="K292" s="17" t="s">
        <v>10</v>
      </c>
      <c r="L292" s="50" t="s">
        <v>1679</v>
      </c>
      <c r="M292" s="17" t="s">
        <v>15</v>
      </c>
      <c r="N292" s="24" t="s">
        <v>1681</v>
      </c>
      <c r="O292" s="24" t="s">
        <v>1682</v>
      </c>
      <c r="P292" s="22" t="s">
        <v>276</v>
      </c>
      <c r="Q292" s="25" t="s">
        <v>1683</v>
      </c>
      <c r="R292" s="17" t="s">
        <v>73</v>
      </c>
      <c r="S292" s="23" t="s">
        <v>276</v>
      </c>
      <c r="T292" s="60"/>
      <c r="U292" s="20">
        <v>46196</v>
      </c>
    </row>
    <row r="293" spans="1:201" ht="43.5" hidden="1">
      <c r="A293" s="25" t="s">
        <v>1684</v>
      </c>
      <c r="B293" s="17" t="s">
        <v>69</v>
      </c>
      <c r="C293" s="17" t="s">
        <v>73</v>
      </c>
      <c r="D293" s="49">
        <v>46136</v>
      </c>
      <c r="E293" s="54" t="s">
        <v>188</v>
      </c>
      <c r="F293" s="54" t="s">
        <v>71</v>
      </c>
      <c r="G293" s="17" t="s">
        <v>70</v>
      </c>
      <c r="H293" s="50" t="s">
        <v>1685</v>
      </c>
      <c r="I293" s="50" t="s">
        <v>1686</v>
      </c>
      <c r="J293" s="25">
        <v>20250535</v>
      </c>
      <c r="K293" s="17" t="s">
        <v>9</v>
      </c>
      <c r="L293" s="17" t="s">
        <v>84</v>
      </c>
      <c r="M293" s="17" t="s">
        <v>17</v>
      </c>
      <c r="N293" s="24" t="s">
        <v>1687</v>
      </c>
      <c r="O293" s="24" t="s">
        <v>1688</v>
      </c>
      <c r="P293" s="22" t="s">
        <v>1689</v>
      </c>
      <c r="Q293" s="25" t="s">
        <v>1690</v>
      </c>
      <c r="R293" s="17"/>
      <c r="S293" s="23"/>
      <c r="T293" s="60"/>
      <c r="U293" s="20"/>
    </row>
    <row r="294" spans="1:201" s="38" customFormat="1" ht="72.599999999999994" hidden="1">
      <c r="A294" s="25" t="s">
        <v>1691</v>
      </c>
      <c r="B294" s="17" t="s">
        <v>69</v>
      </c>
      <c r="C294" s="17" t="s">
        <v>73</v>
      </c>
      <c r="D294" s="49">
        <v>46181</v>
      </c>
      <c r="E294" s="54" t="s">
        <v>911</v>
      </c>
      <c r="F294" s="54" t="s">
        <v>71</v>
      </c>
      <c r="G294" s="17" t="s">
        <v>70</v>
      </c>
      <c r="H294" s="50" t="s">
        <v>1692</v>
      </c>
      <c r="I294" s="50" t="s">
        <v>1368</v>
      </c>
      <c r="J294" s="25">
        <v>20251334</v>
      </c>
      <c r="K294" s="17" t="s">
        <v>11</v>
      </c>
      <c r="L294" s="50" t="s">
        <v>84</v>
      </c>
      <c r="M294" s="17" t="s">
        <v>21</v>
      </c>
      <c r="N294" s="36" t="s">
        <v>1693</v>
      </c>
      <c r="O294" s="140" t="s">
        <v>1694</v>
      </c>
      <c r="P294" s="22" t="s">
        <v>1695</v>
      </c>
      <c r="Q294" s="25" t="s">
        <v>1696</v>
      </c>
      <c r="R294" s="17" t="s">
        <v>73</v>
      </c>
      <c r="S294" s="23" t="s">
        <v>84</v>
      </c>
      <c r="T294" s="60" t="s">
        <v>84</v>
      </c>
      <c r="U294" s="49">
        <v>46181</v>
      </c>
    </row>
    <row r="295" spans="1:201" ht="72.599999999999994" hidden="1">
      <c r="A295" s="25" t="s">
        <v>1697</v>
      </c>
      <c r="B295" s="17" t="s">
        <v>69</v>
      </c>
      <c r="C295" s="17" t="s">
        <v>73</v>
      </c>
      <c r="D295" s="49">
        <v>46197</v>
      </c>
      <c r="E295" s="54" t="s">
        <v>911</v>
      </c>
      <c r="F295" s="54" t="s">
        <v>71</v>
      </c>
      <c r="G295" s="17" t="s">
        <v>70</v>
      </c>
      <c r="H295" s="50" t="s">
        <v>1189</v>
      </c>
      <c r="I295" s="50" t="s">
        <v>1698</v>
      </c>
      <c r="J295" s="25">
        <v>20252251</v>
      </c>
      <c r="K295" s="17" t="s">
        <v>10</v>
      </c>
      <c r="L295" s="50" t="s">
        <v>84</v>
      </c>
      <c r="M295" s="17" t="s">
        <v>20</v>
      </c>
      <c r="N295" s="36" t="s">
        <v>1699</v>
      </c>
      <c r="O295" s="36" t="s">
        <v>1700</v>
      </c>
      <c r="P295" s="22" t="s">
        <v>1676</v>
      </c>
      <c r="Q295" s="25" t="s">
        <v>1701</v>
      </c>
      <c r="R295" s="17" t="s">
        <v>73</v>
      </c>
      <c r="S295" s="23" t="s">
        <v>84</v>
      </c>
      <c r="T295" s="60" t="s">
        <v>84</v>
      </c>
      <c r="U295" s="49"/>
    </row>
    <row r="296" spans="1:201" ht="87" hidden="1">
      <c r="A296" s="25" t="s">
        <v>1702</v>
      </c>
      <c r="B296" s="17" t="s">
        <v>69</v>
      </c>
      <c r="C296" s="17" t="s">
        <v>73</v>
      </c>
      <c r="D296" s="49">
        <v>46204</v>
      </c>
      <c r="E296" s="54" t="s">
        <v>370</v>
      </c>
      <c r="F296" s="54" t="s">
        <v>71</v>
      </c>
      <c r="G296" s="17" t="s">
        <v>73</v>
      </c>
      <c r="H296" s="50" t="s">
        <v>84</v>
      </c>
      <c r="I296" s="50" t="s">
        <v>84</v>
      </c>
      <c r="J296" s="25" t="s">
        <v>84</v>
      </c>
      <c r="K296" s="17" t="s">
        <v>9</v>
      </c>
      <c r="L296" s="17" t="s">
        <v>84</v>
      </c>
      <c r="M296" s="17" t="s">
        <v>19</v>
      </c>
      <c r="N296" s="24" t="s">
        <v>1703</v>
      </c>
      <c r="O296" s="24" t="s">
        <v>1704</v>
      </c>
      <c r="P296" s="22"/>
      <c r="Q296" s="25" t="s">
        <v>1705</v>
      </c>
      <c r="R296" s="17" t="s">
        <v>73</v>
      </c>
      <c r="S296" s="23" t="s">
        <v>84</v>
      </c>
      <c r="T296" s="60"/>
      <c r="U296" s="20">
        <v>46204</v>
      </c>
    </row>
    <row r="297" spans="1:201" ht="57.95" hidden="1">
      <c r="A297" s="25" t="s">
        <v>1706</v>
      </c>
      <c r="B297" s="17" t="s">
        <v>76</v>
      </c>
      <c r="C297" s="17" t="s">
        <v>73</v>
      </c>
      <c r="D297" s="49">
        <v>45639</v>
      </c>
      <c r="E297" s="54" t="s">
        <v>301</v>
      </c>
      <c r="F297" s="54" t="s">
        <v>71</v>
      </c>
      <c r="G297" s="17" t="s">
        <v>73</v>
      </c>
      <c r="H297" s="50" t="s">
        <v>1509</v>
      </c>
      <c r="I297" s="50" t="s">
        <v>87</v>
      </c>
      <c r="J297" s="25">
        <v>20221617</v>
      </c>
      <c r="K297" s="17" t="s">
        <v>10</v>
      </c>
      <c r="L297" s="17" t="s">
        <v>1509</v>
      </c>
      <c r="M297" s="17" t="s">
        <v>15</v>
      </c>
      <c r="N297" s="24" t="s">
        <v>1707</v>
      </c>
      <c r="O297" s="104" t="s">
        <v>1708</v>
      </c>
      <c r="P297" s="22">
        <v>0</v>
      </c>
      <c r="Q297" s="25" t="s">
        <v>1709</v>
      </c>
      <c r="R297" s="17" t="s">
        <v>73</v>
      </c>
      <c r="S297" s="23" t="s">
        <v>84</v>
      </c>
      <c r="T297" s="60" t="s">
        <v>84</v>
      </c>
      <c r="U297" s="20">
        <v>45646</v>
      </c>
    </row>
    <row r="298" spans="1:201" ht="72.599999999999994" hidden="1">
      <c r="A298" s="25" t="s">
        <v>1710</v>
      </c>
      <c r="B298" s="17" t="s">
        <v>76</v>
      </c>
      <c r="C298" s="17" t="s">
        <v>73</v>
      </c>
      <c r="D298" s="49">
        <v>45947</v>
      </c>
      <c r="E298" s="54" t="s">
        <v>301</v>
      </c>
      <c r="F298" s="54" t="s">
        <v>71</v>
      </c>
      <c r="G298" s="17" t="s">
        <v>73</v>
      </c>
      <c r="H298" s="50" t="s">
        <v>1509</v>
      </c>
      <c r="I298" s="50" t="s">
        <v>87</v>
      </c>
      <c r="J298" s="25" t="s">
        <v>1711</v>
      </c>
      <c r="K298" s="17" t="s">
        <v>10</v>
      </c>
      <c r="L298" s="17" t="s">
        <v>1509</v>
      </c>
      <c r="M298" s="17" t="s">
        <v>15</v>
      </c>
      <c r="N298" s="24" t="s">
        <v>1712</v>
      </c>
      <c r="O298" s="104" t="s">
        <v>1713</v>
      </c>
      <c r="P298" s="22">
        <v>0</v>
      </c>
      <c r="Q298" s="25"/>
      <c r="R298" s="17"/>
      <c r="S298" s="23"/>
      <c r="T298" s="60"/>
      <c r="U298" s="20">
        <v>45964</v>
      </c>
    </row>
    <row r="299" spans="1:201" ht="116.1" hidden="1">
      <c r="A299" s="25" t="s">
        <v>1714</v>
      </c>
      <c r="B299" s="17" t="s">
        <v>72</v>
      </c>
      <c r="C299" s="17" t="s">
        <v>70</v>
      </c>
      <c r="D299" s="49" t="s">
        <v>1715</v>
      </c>
      <c r="E299" s="54" t="s">
        <v>1029</v>
      </c>
      <c r="F299" s="54" t="s">
        <v>71</v>
      </c>
      <c r="G299" s="17" t="s">
        <v>70</v>
      </c>
      <c r="H299" s="50" t="s">
        <v>1716</v>
      </c>
      <c r="I299" s="50" t="s">
        <v>308</v>
      </c>
      <c r="J299" s="25" t="s">
        <v>1717</v>
      </c>
      <c r="K299" s="17"/>
      <c r="L299" s="17"/>
      <c r="M299" s="17" t="s">
        <v>17</v>
      </c>
      <c r="N299" s="24" t="s">
        <v>1718</v>
      </c>
      <c r="O299" s="1" t="s">
        <v>1719</v>
      </c>
      <c r="P299" s="22">
        <v>27261.599999999999</v>
      </c>
      <c r="Q299" s="25"/>
      <c r="R299" s="17"/>
      <c r="S299" s="23"/>
      <c r="T299" s="60"/>
      <c r="U299" s="20"/>
    </row>
    <row r="300" spans="1:201" ht="116.1" hidden="1">
      <c r="A300" s="25" t="s">
        <v>1720</v>
      </c>
      <c r="B300" s="17" t="s">
        <v>72</v>
      </c>
      <c r="C300" s="17" t="s">
        <v>70</v>
      </c>
      <c r="D300" s="49" t="s">
        <v>1721</v>
      </c>
      <c r="E300" s="54" t="s">
        <v>1029</v>
      </c>
      <c r="F300" s="54" t="s">
        <v>71</v>
      </c>
      <c r="G300" s="17" t="s">
        <v>70</v>
      </c>
      <c r="H300" s="50" t="s">
        <v>1722</v>
      </c>
      <c r="I300" s="50" t="s">
        <v>611</v>
      </c>
      <c r="J300" s="25">
        <v>20251809</v>
      </c>
      <c r="K300" s="17"/>
      <c r="L300" s="17"/>
      <c r="M300" s="17" t="s">
        <v>16</v>
      </c>
      <c r="N300" s="24" t="s">
        <v>1723</v>
      </c>
      <c r="O300" s="104" t="s">
        <v>1724</v>
      </c>
      <c r="P300" s="22">
        <v>50999</v>
      </c>
      <c r="Q300" s="25"/>
      <c r="R300" s="17"/>
      <c r="S300" s="23"/>
      <c r="T300" s="60"/>
      <c r="U300" s="20"/>
    </row>
    <row r="301" spans="1:201" s="39" customFormat="1" ht="144.94999999999999">
      <c r="A301" s="25" t="s">
        <v>1725</v>
      </c>
      <c r="B301" s="17" t="s">
        <v>75</v>
      </c>
      <c r="C301" s="50" t="s">
        <v>70</v>
      </c>
      <c r="D301" s="18">
        <v>46245</v>
      </c>
      <c r="E301" s="17" t="s">
        <v>313</v>
      </c>
      <c r="F301" s="17" t="s">
        <v>71</v>
      </c>
      <c r="G301" s="17" t="s">
        <v>70</v>
      </c>
      <c r="H301" s="17" t="s">
        <v>1189</v>
      </c>
      <c r="I301" s="17" t="s">
        <v>1726</v>
      </c>
      <c r="J301" s="17" t="s">
        <v>1017</v>
      </c>
      <c r="K301" s="17" t="s">
        <v>10</v>
      </c>
      <c r="L301" s="17" t="s">
        <v>1189</v>
      </c>
      <c r="M301" s="17" t="s">
        <v>15</v>
      </c>
      <c r="N301" s="52" t="s">
        <v>1727</v>
      </c>
      <c r="O301" s="183" t="s">
        <v>1728</v>
      </c>
      <c r="P301" s="17" t="s">
        <v>1676</v>
      </c>
      <c r="Q301" s="52" t="s">
        <v>1729</v>
      </c>
      <c r="R301" s="17"/>
      <c r="S301" s="17" t="s">
        <v>84</v>
      </c>
      <c r="T301" s="60" t="s">
        <v>84</v>
      </c>
      <c r="U301" s="17"/>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c r="CA301"/>
      <c r="CB301"/>
      <c r="CC301"/>
      <c r="CD301"/>
      <c r="CE301"/>
      <c r="CF301"/>
      <c r="CG301"/>
      <c r="CH301"/>
      <c r="CI301"/>
      <c r="CJ301"/>
      <c r="CK301"/>
      <c r="CL301"/>
      <c r="CM301"/>
      <c r="CN301"/>
      <c r="CO301"/>
      <c r="CP301"/>
      <c r="CQ301"/>
      <c r="CR301"/>
      <c r="CS301"/>
      <c r="CT301"/>
      <c r="CU301"/>
      <c r="CV301"/>
      <c r="CW301"/>
      <c r="CX301"/>
      <c r="CY301"/>
      <c r="CZ301"/>
      <c r="DA301"/>
      <c r="DB301"/>
      <c r="DC301"/>
      <c r="DD301"/>
      <c r="DE301"/>
      <c r="DF301"/>
      <c r="DG301"/>
      <c r="DH301"/>
      <c r="DI301"/>
      <c r="DJ301"/>
      <c r="DK301"/>
      <c r="DL301"/>
      <c r="DM301"/>
      <c r="DN301"/>
      <c r="DO301"/>
      <c r="DP301"/>
      <c r="DQ301"/>
      <c r="DR301"/>
      <c r="DS301"/>
      <c r="DT301"/>
      <c r="DU301"/>
      <c r="DV301"/>
      <c r="DW301"/>
      <c r="DX301"/>
      <c r="DY301"/>
      <c r="DZ301"/>
      <c r="EA301"/>
      <c r="EB301"/>
      <c r="EC301"/>
      <c r="ED301"/>
      <c r="EE301"/>
      <c r="EF301"/>
      <c r="EG301"/>
      <c r="EH301"/>
      <c r="EI301"/>
      <c r="EJ301"/>
      <c r="EK301"/>
      <c r="EL301"/>
      <c r="EM301"/>
      <c r="EN301"/>
      <c r="EO301"/>
      <c r="EP301"/>
      <c r="EQ301"/>
      <c r="ER301"/>
      <c r="ES301"/>
      <c r="ET301"/>
      <c r="EU301"/>
      <c r="EV301"/>
      <c r="EW301"/>
      <c r="EX301"/>
      <c r="EY301"/>
      <c r="EZ301"/>
      <c r="FA301"/>
      <c r="FB301"/>
      <c r="FC301"/>
      <c r="FD301"/>
      <c r="FE301"/>
      <c r="FF301"/>
      <c r="FG301"/>
      <c r="FH301"/>
      <c r="FI301"/>
      <c r="FJ301"/>
      <c r="FK301"/>
      <c r="FL301"/>
      <c r="FM301"/>
      <c r="FN301"/>
      <c r="FO301"/>
      <c r="FP301"/>
      <c r="FQ301"/>
      <c r="FR301"/>
      <c r="FS301"/>
      <c r="FT301"/>
      <c r="FU301"/>
      <c r="FV301"/>
      <c r="FW301"/>
      <c r="FX301"/>
      <c r="FY301"/>
      <c r="FZ301"/>
      <c r="GA301"/>
      <c r="GB301"/>
      <c r="GC301"/>
      <c r="GD301"/>
      <c r="GE301"/>
      <c r="GF301"/>
      <c r="GG301"/>
      <c r="GH301"/>
      <c r="GI301"/>
      <c r="GJ301"/>
      <c r="GK301"/>
      <c r="GL301"/>
      <c r="GM301"/>
      <c r="GN301"/>
      <c r="GO301"/>
      <c r="GP301"/>
      <c r="GQ301"/>
      <c r="GR301"/>
      <c r="GS301"/>
    </row>
    <row r="302" spans="1:201" s="39" customFormat="1" ht="87" hidden="1">
      <c r="A302" s="25" t="s">
        <v>1730</v>
      </c>
      <c r="B302" s="17" t="s">
        <v>69</v>
      </c>
      <c r="C302" s="17" t="s">
        <v>73</v>
      </c>
      <c r="D302" s="18">
        <v>46240</v>
      </c>
      <c r="E302" s="17" t="s">
        <v>1731</v>
      </c>
      <c r="F302" s="17" t="s">
        <v>71</v>
      </c>
      <c r="G302" s="17" t="s">
        <v>73</v>
      </c>
      <c r="H302" s="17" t="s">
        <v>783</v>
      </c>
      <c r="I302" s="17" t="s">
        <v>87</v>
      </c>
      <c r="J302" s="25">
        <v>20242888</v>
      </c>
      <c r="K302" s="17" t="s">
        <v>10</v>
      </c>
      <c r="L302" s="17" t="s">
        <v>783</v>
      </c>
      <c r="M302" s="17" t="s">
        <v>19</v>
      </c>
      <c r="N302" s="185" t="s">
        <v>1732</v>
      </c>
      <c r="O302" s="52" t="s">
        <v>1733</v>
      </c>
      <c r="P302" s="17" t="s">
        <v>1734</v>
      </c>
      <c r="Q302" s="25" t="s">
        <v>1735</v>
      </c>
      <c r="R302" s="17" t="s">
        <v>73</v>
      </c>
      <c r="S302" s="17"/>
      <c r="T302" s="60"/>
      <c r="U302" s="17"/>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c r="CA302"/>
      <c r="CB302"/>
      <c r="CC302"/>
      <c r="CD302"/>
      <c r="CE302"/>
      <c r="CF302"/>
      <c r="CG302"/>
      <c r="CH302"/>
      <c r="CI302"/>
      <c r="CJ302"/>
      <c r="CK302"/>
      <c r="CL302"/>
      <c r="CM302"/>
      <c r="CN302"/>
      <c r="CO302"/>
      <c r="CP302"/>
      <c r="CQ302"/>
      <c r="CR302"/>
      <c r="CS302"/>
      <c r="CT302"/>
      <c r="CU302"/>
      <c r="CV302"/>
      <c r="CW302"/>
      <c r="CX302"/>
      <c r="CY302"/>
      <c r="CZ302"/>
      <c r="DA302"/>
      <c r="DB302"/>
      <c r="DC302"/>
      <c r="DD302"/>
      <c r="DE302"/>
      <c r="DF302"/>
      <c r="DG302"/>
      <c r="DH302"/>
      <c r="DI302"/>
      <c r="DJ302"/>
      <c r="DK302"/>
      <c r="DL302"/>
      <c r="DM302"/>
      <c r="DN302"/>
      <c r="DO302"/>
      <c r="DP302"/>
      <c r="DQ302"/>
      <c r="DR302"/>
      <c r="DS302"/>
      <c r="DT302"/>
      <c r="DU302"/>
      <c r="DV302"/>
      <c r="DW302"/>
      <c r="DX302"/>
      <c r="DY302"/>
      <c r="DZ302"/>
      <c r="EA302"/>
      <c r="EB302"/>
      <c r="EC302"/>
      <c r="ED302"/>
      <c r="EE302"/>
      <c r="EF302"/>
      <c r="EG302"/>
      <c r="EH302"/>
      <c r="EI302"/>
      <c r="EJ302"/>
      <c r="EK302"/>
      <c r="EL302"/>
      <c r="EM302"/>
      <c r="EN302"/>
      <c r="EO302"/>
      <c r="EP302"/>
      <c r="EQ302"/>
      <c r="ER302"/>
      <c r="ES302"/>
      <c r="ET302"/>
      <c r="EU302"/>
      <c r="EV302"/>
      <c r="EW302"/>
      <c r="EX302"/>
      <c r="EY302"/>
      <c r="EZ302"/>
      <c r="FA302"/>
      <c r="FB302"/>
      <c r="FC302"/>
      <c r="FD302"/>
      <c r="FE302"/>
      <c r="FF302"/>
      <c r="FG302"/>
      <c r="FH302"/>
      <c r="FI302"/>
      <c r="FJ302"/>
      <c r="FK302"/>
      <c r="FL302"/>
      <c r="FM302"/>
      <c r="FN302"/>
      <c r="FO302"/>
      <c r="FP302"/>
      <c r="FQ302"/>
      <c r="FR302"/>
      <c r="FS302"/>
      <c r="FT302"/>
      <c r="FU302"/>
      <c r="FV302"/>
      <c r="FW302"/>
      <c r="FX302"/>
      <c r="FY302"/>
      <c r="FZ302"/>
      <c r="GA302"/>
      <c r="GB302"/>
      <c r="GC302"/>
      <c r="GD302"/>
      <c r="GE302"/>
      <c r="GF302"/>
      <c r="GG302"/>
      <c r="GH302"/>
      <c r="GI302"/>
      <c r="GJ302"/>
      <c r="GK302"/>
      <c r="GL302"/>
      <c r="GM302"/>
      <c r="GN302"/>
      <c r="GO302"/>
      <c r="GP302"/>
      <c r="GQ302"/>
      <c r="GR302"/>
      <c r="GS302"/>
    </row>
    <row r="303" spans="1:201" s="39" customFormat="1" ht="101.45" hidden="1">
      <c r="A303" s="25" t="s">
        <v>1736</v>
      </c>
      <c r="B303" s="17" t="s">
        <v>72</v>
      </c>
      <c r="C303" s="17" t="s">
        <v>70</v>
      </c>
      <c r="D303" s="18">
        <v>46238</v>
      </c>
      <c r="E303" s="17" t="s">
        <v>1080</v>
      </c>
      <c r="F303" s="54" t="s">
        <v>74</v>
      </c>
      <c r="G303" s="17" t="s">
        <v>73</v>
      </c>
      <c r="H303" s="17" t="s">
        <v>1521</v>
      </c>
      <c r="I303" s="17" t="s">
        <v>9</v>
      </c>
      <c r="J303" s="25" t="s">
        <v>1737</v>
      </c>
      <c r="K303" s="17" t="s">
        <v>10</v>
      </c>
      <c r="L303" s="17" t="s">
        <v>1521</v>
      </c>
      <c r="M303" s="184" t="s">
        <v>19</v>
      </c>
      <c r="N303" s="186" t="s">
        <v>1738</v>
      </c>
      <c r="O303" s="25" t="s">
        <v>1739</v>
      </c>
      <c r="P303" s="17"/>
      <c r="Q303" s="25"/>
      <c r="R303" s="17"/>
      <c r="S303" s="17"/>
      <c r="T303" s="60"/>
      <c r="U303" s="17"/>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12"/>
      <c r="BG303" s="12"/>
      <c r="BH303" s="12"/>
      <c r="BI303" s="12"/>
      <c r="BJ303" s="12"/>
      <c r="BK303" s="12"/>
      <c r="BL303" s="12"/>
      <c r="BM303" s="12"/>
      <c r="BN303" s="12"/>
      <c r="BO303" s="12"/>
      <c r="BP303" s="12"/>
      <c r="BQ303" s="12"/>
      <c r="BR303" s="12"/>
      <c r="BS303" s="12"/>
      <c r="BT303" s="12"/>
      <c r="BU303" s="12"/>
      <c r="BV303" s="12"/>
      <c r="BW303" s="12"/>
      <c r="BX303" s="12"/>
      <c r="BY303" s="12"/>
      <c r="BZ303" s="12"/>
      <c r="CA303" s="12"/>
      <c r="CB303" s="12"/>
      <c r="CC303" s="12"/>
      <c r="CD303" s="12"/>
      <c r="CE303" s="12"/>
      <c r="CF303" s="12"/>
      <c r="CG303" s="12"/>
      <c r="CH303" s="12"/>
      <c r="CI303" s="12"/>
      <c r="CJ303" s="12"/>
      <c r="CK303" s="12"/>
      <c r="CL303" s="12"/>
      <c r="CM303" s="12"/>
      <c r="CN303" s="12"/>
      <c r="CO303" s="12"/>
      <c r="CP303" s="12"/>
      <c r="CQ303" s="12"/>
      <c r="CR303" s="12"/>
      <c r="CS303" s="12"/>
      <c r="CT303" s="12"/>
      <c r="CU303" s="12"/>
      <c r="CV303" s="12"/>
      <c r="CW303" s="12"/>
      <c r="CX303" s="12"/>
      <c r="CY303" s="12"/>
      <c r="CZ303" s="12"/>
      <c r="DA303" s="12"/>
      <c r="DB303" s="12"/>
      <c r="DC303" s="12"/>
      <c r="DD303" s="12"/>
      <c r="DE303" s="12"/>
      <c r="DF303" s="12"/>
      <c r="DG303" s="12"/>
      <c r="DH303" s="12"/>
      <c r="DI303" s="12"/>
      <c r="DJ303" s="12"/>
      <c r="DK303" s="12"/>
      <c r="DL303" s="12"/>
      <c r="DM303" s="12"/>
      <c r="DN303" s="12"/>
      <c r="DO303" s="12"/>
      <c r="DP303" s="12"/>
      <c r="DQ303" s="12"/>
      <c r="DR303" s="12"/>
      <c r="DS303" s="12"/>
      <c r="DT303" s="12"/>
      <c r="DU303" s="12"/>
      <c r="DV303" s="12"/>
      <c r="DW303" s="12"/>
      <c r="DX303" s="12"/>
      <c r="DY303" s="12"/>
      <c r="DZ303" s="12"/>
      <c r="EA303" s="12"/>
      <c r="EB303" s="12"/>
      <c r="EC303" s="12"/>
      <c r="ED303" s="12"/>
      <c r="EE303" s="12"/>
      <c r="EF303" s="12"/>
      <c r="EG303" s="12"/>
      <c r="EH303" s="12"/>
      <c r="EI303" s="12"/>
      <c r="EJ303" s="12"/>
      <c r="EK303" s="12"/>
      <c r="EL303" s="12"/>
      <c r="EM303" s="12"/>
      <c r="EN303" s="12"/>
      <c r="EO303" s="12"/>
      <c r="EP303" s="12"/>
      <c r="EQ303" s="12"/>
      <c r="ER303" s="12"/>
      <c r="ES303" s="12"/>
      <c r="ET303" s="12"/>
      <c r="EU303" s="12"/>
      <c r="EV303" s="12"/>
      <c r="EW303" s="12"/>
      <c r="EX303" s="12"/>
      <c r="EY303" s="12"/>
      <c r="EZ303" s="12"/>
      <c r="FA303" s="12"/>
      <c r="FB303" s="12"/>
      <c r="FC303" s="12"/>
      <c r="FD303" s="12"/>
      <c r="FE303" s="12"/>
      <c r="FF303" s="12"/>
      <c r="FG303" s="12"/>
      <c r="FH303" s="12"/>
      <c r="FI303" s="12"/>
      <c r="FJ303" s="12"/>
      <c r="FK303" s="12"/>
      <c r="FL303" s="12"/>
      <c r="FM303" s="12"/>
      <c r="FN303" s="12"/>
      <c r="FO303" s="12"/>
      <c r="FP303" s="12"/>
      <c r="FQ303" s="12"/>
      <c r="FR303" s="12"/>
      <c r="FS303" s="12"/>
      <c r="FT303" s="12"/>
      <c r="FU303" s="12"/>
      <c r="FV303" s="12"/>
      <c r="FW303" s="12"/>
      <c r="FX303" s="12"/>
      <c r="FY303" s="12"/>
      <c r="FZ303" s="12"/>
      <c r="GA303" s="12"/>
      <c r="GB303" s="12"/>
      <c r="GC303" s="12"/>
      <c r="GD303" s="12"/>
      <c r="GE303" s="12"/>
      <c r="GF303" s="12"/>
      <c r="GG303" s="12"/>
      <c r="GH303" s="12"/>
      <c r="GI303" s="12"/>
      <c r="GJ303" s="12"/>
      <c r="GK303" s="12"/>
      <c r="GL303" s="12"/>
      <c r="GM303" s="12"/>
      <c r="GN303" s="12"/>
      <c r="GO303" s="12"/>
      <c r="GP303" s="12"/>
      <c r="GQ303" s="12"/>
      <c r="GR303" s="12"/>
      <c r="GS303" s="12"/>
    </row>
    <row r="304" spans="1:201" ht="87" hidden="1">
      <c r="A304" s="25" t="s">
        <v>1740</v>
      </c>
      <c r="B304" s="17" t="s">
        <v>69</v>
      </c>
      <c r="C304" s="17" t="s">
        <v>73</v>
      </c>
      <c r="D304" s="20">
        <v>46275</v>
      </c>
      <c r="E304" s="17" t="s">
        <v>1080</v>
      </c>
      <c r="F304" s="54" t="s">
        <v>74</v>
      </c>
      <c r="G304" s="17" t="s">
        <v>70</v>
      </c>
      <c r="H304" s="17" t="s">
        <v>1580</v>
      </c>
      <c r="I304" s="17" t="s">
        <v>9</v>
      </c>
      <c r="J304" s="25" t="s">
        <v>84</v>
      </c>
      <c r="K304" s="17" t="s">
        <v>9</v>
      </c>
      <c r="L304" s="17" t="s">
        <v>9</v>
      </c>
      <c r="M304" s="17" t="s">
        <v>19</v>
      </c>
      <c r="N304" s="162" t="s">
        <v>1741</v>
      </c>
      <c r="O304" s="162" t="s">
        <v>1742</v>
      </c>
      <c r="P304" s="22" t="s">
        <v>590</v>
      </c>
      <c r="Q304" s="25" t="s">
        <v>1743</v>
      </c>
      <c r="R304" s="17" t="s">
        <v>73</v>
      </c>
      <c r="S304" s="23"/>
      <c r="T304" s="60"/>
      <c r="U304" s="20">
        <v>46279</v>
      </c>
    </row>
    <row r="305" spans="1:201" ht="72.599999999999994" hidden="1">
      <c r="A305" s="25" t="s">
        <v>1744</v>
      </c>
      <c r="B305" s="17" t="s">
        <v>72</v>
      </c>
      <c r="C305" s="17" t="s">
        <v>73</v>
      </c>
      <c r="D305" s="20">
        <v>46230</v>
      </c>
      <c r="E305" s="17" t="s">
        <v>1188</v>
      </c>
      <c r="F305" s="54" t="s">
        <v>71</v>
      </c>
      <c r="G305" s="17" t="s">
        <v>70</v>
      </c>
      <c r="H305" s="19" t="s">
        <v>1745</v>
      </c>
      <c r="I305" s="19" t="s">
        <v>1746</v>
      </c>
      <c r="J305" s="25" t="s">
        <v>1491</v>
      </c>
      <c r="K305" s="17" t="s">
        <v>8</v>
      </c>
      <c r="L305" s="17" t="s">
        <v>1747</v>
      </c>
      <c r="M305" s="17" t="s">
        <v>17</v>
      </c>
      <c r="N305" s="24" t="s">
        <v>1748</v>
      </c>
      <c r="O305" s="21" t="s">
        <v>1749</v>
      </c>
      <c r="P305" s="22" t="s">
        <v>590</v>
      </c>
      <c r="Q305" s="25" t="s">
        <v>1750</v>
      </c>
      <c r="R305" s="17" t="s">
        <v>73</v>
      </c>
      <c r="S305" s="23"/>
      <c r="T305" s="60"/>
      <c r="U305" s="20">
        <v>46252</v>
      </c>
    </row>
    <row r="306" spans="1:201" ht="43.5" hidden="1">
      <c r="A306" s="25" t="s">
        <v>1751</v>
      </c>
      <c r="B306" s="17" t="s">
        <v>72</v>
      </c>
      <c r="C306" s="17" t="s">
        <v>73</v>
      </c>
      <c r="D306" s="20">
        <v>46276</v>
      </c>
      <c r="E306" s="17" t="s">
        <v>1188</v>
      </c>
      <c r="F306" s="54" t="s">
        <v>71</v>
      </c>
      <c r="G306" s="17" t="s">
        <v>70</v>
      </c>
      <c r="H306" s="19" t="s">
        <v>271</v>
      </c>
      <c r="I306" s="19" t="s">
        <v>1752</v>
      </c>
      <c r="J306" s="25">
        <v>20252204</v>
      </c>
      <c r="K306" s="17" t="s">
        <v>1753</v>
      </c>
      <c r="L306" s="17" t="s">
        <v>1754</v>
      </c>
      <c r="M306" s="17" t="s">
        <v>17</v>
      </c>
      <c r="N306" s="1" t="s">
        <v>1755</v>
      </c>
      <c r="O306" s="21" t="s">
        <v>1756</v>
      </c>
      <c r="P306" s="22"/>
      <c r="Q306" s="25" t="s">
        <v>1757</v>
      </c>
      <c r="R306" s="17"/>
      <c r="S306" s="23"/>
      <c r="T306" s="60"/>
      <c r="U306" s="20"/>
    </row>
    <row r="307" spans="1:201" s="140" customFormat="1" ht="60.75">
      <c r="A307" s="25" t="s">
        <v>1758</v>
      </c>
      <c r="B307" s="17" t="s">
        <v>75</v>
      </c>
      <c r="C307" s="17" t="s">
        <v>70</v>
      </c>
      <c r="D307" s="188">
        <v>46283</v>
      </c>
      <c r="E307" s="17" t="s">
        <v>1080</v>
      </c>
      <c r="F307" s="54" t="s">
        <v>74</v>
      </c>
      <c r="G307" s="17" t="s">
        <v>70</v>
      </c>
      <c r="H307" s="140" t="s">
        <v>1604</v>
      </c>
      <c r="I307" s="140" t="s">
        <v>1538</v>
      </c>
      <c r="J307" s="25" t="s">
        <v>1539</v>
      </c>
      <c r="K307" s="17" t="s">
        <v>9</v>
      </c>
      <c r="L307" s="140" t="s">
        <v>1759</v>
      </c>
      <c r="M307" s="17" t="s">
        <v>15</v>
      </c>
      <c r="N307" s="36" t="s">
        <v>1760</v>
      </c>
      <c r="P307" s="140" t="s">
        <v>614</v>
      </c>
      <c r="Q307" s="36" t="s">
        <v>1761</v>
      </c>
      <c r="T307" s="189"/>
      <c r="V307" s="38"/>
      <c r="W307" s="38"/>
      <c r="X307" s="38"/>
      <c r="Y307" s="38"/>
      <c r="Z307" s="38"/>
      <c r="AA307" s="38"/>
      <c r="AB307" s="38"/>
      <c r="AC307" s="38"/>
      <c r="AD307" s="38"/>
      <c r="AE307" s="38"/>
      <c r="AF307" s="38"/>
      <c r="AG307" s="38"/>
      <c r="AH307" s="38"/>
      <c r="AI307" s="38"/>
      <c r="AJ307" s="38"/>
      <c r="AK307" s="38"/>
      <c r="AL307" s="38"/>
      <c r="AM307" s="38"/>
      <c r="AN307" s="38"/>
      <c r="AO307" s="38"/>
      <c r="AP307" s="38"/>
      <c r="AQ307" s="38"/>
      <c r="AR307" s="38"/>
      <c r="AS307" s="38"/>
      <c r="AT307" s="38"/>
      <c r="AU307" s="38"/>
      <c r="AV307" s="38"/>
      <c r="AW307" s="38"/>
      <c r="AX307" s="38"/>
      <c r="AY307" s="38"/>
      <c r="AZ307" s="38"/>
      <c r="BA307" s="38"/>
      <c r="BB307" s="38"/>
      <c r="BC307" s="38"/>
      <c r="BD307" s="38"/>
      <c r="BE307" s="38"/>
      <c r="BF307" s="38"/>
      <c r="BG307" s="38"/>
      <c r="BH307" s="38"/>
      <c r="BI307" s="38"/>
      <c r="BJ307" s="38"/>
      <c r="BK307" s="38"/>
      <c r="BL307" s="38"/>
      <c r="BM307" s="38"/>
      <c r="BN307" s="38"/>
      <c r="BO307" s="38"/>
      <c r="BP307" s="38"/>
      <c r="BQ307" s="38"/>
      <c r="BR307" s="38"/>
      <c r="BS307" s="38"/>
      <c r="BT307" s="38"/>
      <c r="BU307" s="38"/>
      <c r="BV307" s="38"/>
      <c r="BW307" s="38"/>
      <c r="BX307" s="38"/>
      <c r="BY307" s="38"/>
      <c r="BZ307" s="38"/>
      <c r="CA307" s="38"/>
      <c r="CB307" s="38"/>
      <c r="CC307" s="38"/>
      <c r="CD307" s="38"/>
      <c r="CE307" s="38"/>
      <c r="CF307" s="38"/>
      <c r="CG307" s="38"/>
      <c r="CH307" s="38"/>
      <c r="CI307" s="38"/>
      <c r="CJ307" s="38"/>
      <c r="CK307" s="38"/>
      <c r="CL307" s="38"/>
      <c r="CM307" s="38"/>
      <c r="CN307" s="38"/>
      <c r="CO307" s="38"/>
      <c r="CP307" s="38"/>
      <c r="CQ307" s="38"/>
      <c r="CR307" s="38"/>
      <c r="CS307" s="38"/>
      <c r="CT307" s="38"/>
      <c r="CU307" s="38"/>
      <c r="CV307" s="38"/>
      <c r="CW307" s="38"/>
      <c r="CX307" s="38"/>
      <c r="CY307" s="38"/>
      <c r="CZ307" s="38"/>
      <c r="DA307" s="38"/>
      <c r="DB307" s="38"/>
      <c r="DC307" s="38"/>
      <c r="DD307" s="38"/>
      <c r="DE307" s="38"/>
      <c r="DF307" s="38"/>
      <c r="DG307" s="38"/>
      <c r="DH307" s="38"/>
      <c r="DI307" s="38"/>
      <c r="DJ307" s="38"/>
      <c r="DK307" s="38"/>
      <c r="DL307" s="38"/>
      <c r="DM307" s="38"/>
      <c r="DN307" s="38"/>
      <c r="DO307" s="38"/>
      <c r="DP307" s="38"/>
      <c r="DQ307" s="38"/>
      <c r="DR307" s="38"/>
      <c r="DS307" s="38"/>
      <c r="DT307" s="38"/>
      <c r="DU307" s="38"/>
      <c r="DV307" s="38"/>
      <c r="DW307" s="38"/>
      <c r="DX307" s="38"/>
      <c r="DY307" s="38"/>
      <c r="DZ307" s="38"/>
      <c r="EA307" s="38"/>
      <c r="EB307" s="38"/>
      <c r="EC307" s="38"/>
      <c r="ED307" s="38"/>
      <c r="EE307" s="38"/>
      <c r="EF307" s="38"/>
      <c r="EG307" s="38"/>
      <c r="EH307" s="38"/>
      <c r="EI307" s="38"/>
      <c r="EJ307" s="38"/>
      <c r="EK307" s="38"/>
      <c r="EL307" s="38"/>
      <c r="EM307" s="38"/>
      <c r="EN307" s="38"/>
      <c r="EO307" s="38"/>
      <c r="EP307" s="38"/>
      <c r="EQ307" s="38"/>
      <c r="ER307" s="38"/>
      <c r="ES307" s="38"/>
      <c r="ET307" s="38"/>
      <c r="EU307" s="38"/>
      <c r="EV307" s="38"/>
      <c r="EW307" s="38"/>
      <c r="EX307" s="38"/>
      <c r="EY307" s="38"/>
      <c r="EZ307" s="38"/>
      <c r="FA307" s="38"/>
      <c r="FB307" s="38"/>
      <c r="FC307" s="38"/>
      <c r="FD307" s="38"/>
      <c r="FE307" s="38"/>
      <c r="FF307" s="38"/>
      <c r="FG307" s="38"/>
      <c r="FH307" s="38"/>
      <c r="FI307" s="38"/>
      <c r="FJ307" s="38"/>
      <c r="FK307" s="38"/>
      <c r="FL307" s="38"/>
      <c r="FM307" s="38"/>
      <c r="FN307" s="38"/>
      <c r="FO307" s="38"/>
      <c r="FP307" s="38"/>
      <c r="FQ307" s="38"/>
      <c r="FR307" s="38"/>
      <c r="FS307" s="38"/>
      <c r="FT307" s="38"/>
      <c r="FU307" s="38"/>
      <c r="FV307" s="38"/>
      <c r="FW307" s="38"/>
      <c r="FX307" s="38"/>
      <c r="FY307" s="38"/>
      <c r="FZ307" s="38"/>
      <c r="GA307" s="38"/>
      <c r="GB307" s="38"/>
      <c r="GC307" s="38"/>
      <c r="GD307" s="38"/>
      <c r="GE307" s="38"/>
      <c r="GF307" s="38"/>
      <c r="GG307" s="38"/>
      <c r="GH307" s="38"/>
      <c r="GI307" s="38"/>
      <c r="GJ307" s="38"/>
      <c r="GK307" s="38"/>
      <c r="GL307" s="38"/>
      <c r="GM307" s="38"/>
      <c r="GN307" s="38"/>
      <c r="GO307" s="38"/>
      <c r="GP307" s="38"/>
      <c r="GQ307" s="38"/>
      <c r="GR307" s="38"/>
      <c r="GS307" s="38"/>
    </row>
    <row r="308" spans="1:201" ht="137.25">
      <c r="A308" s="25" t="s">
        <v>1762</v>
      </c>
      <c r="B308" s="17" t="s">
        <v>75</v>
      </c>
      <c r="C308" s="50" t="s">
        <v>70</v>
      </c>
      <c r="D308" s="18">
        <v>46286</v>
      </c>
      <c r="E308" s="17" t="s">
        <v>313</v>
      </c>
      <c r="F308" s="17" t="s">
        <v>71</v>
      </c>
      <c r="G308" s="17" t="s">
        <v>70</v>
      </c>
      <c r="H308" s="17" t="s">
        <v>1189</v>
      </c>
      <c r="I308" s="17" t="s">
        <v>1763</v>
      </c>
      <c r="J308" s="17">
        <v>20243045</v>
      </c>
      <c r="K308" s="17" t="s">
        <v>10</v>
      </c>
      <c r="L308" s="17" t="s">
        <v>1189</v>
      </c>
      <c r="M308" s="17" t="s">
        <v>15</v>
      </c>
      <c r="N308" s="52" t="s">
        <v>1764</v>
      </c>
      <c r="O308" s="183" t="s">
        <v>1728</v>
      </c>
      <c r="P308" s="17" t="s">
        <v>1676</v>
      </c>
      <c r="Q308" s="52" t="s">
        <v>1765</v>
      </c>
      <c r="R308" s="17"/>
      <c r="S308" s="17" t="s">
        <v>84</v>
      </c>
      <c r="T308" s="60" t="s">
        <v>84</v>
      </c>
      <c r="U308" s="17"/>
    </row>
    <row r="309" spans="1:201" ht="14.45">
      <c r="A309" s="25" t="s">
        <v>1766</v>
      </c>
      <c r="B309" s="17"/>
      <c r="C309" s="17"/>
      <c r="D309" s="121"/>
      <c r="E309" s="54"/>
      <c r="F309" s="54"/>
      <c r="G309" s="17"/>
      <c r="H309" s="50"/>
      <c r="I309" s="54"/>
      <c r="J309" s="68"/>
      <c r="K309" s="17"/>
      <c r="L309" s="17"/>
      <c r="M309" s="17"/>
      <c r="N309" s="24"/>
      <c r="O309" s="21"/>
      <c r="P309" s="22"/>
      <c r="Q309" s="25"/>
      <c r="R309" s="17"/>
      <c r="S309" s="23"/>
      <c r="T309" s="60"/>
      <c r="U309" s="20"/>
    </row>
    <row r="310" spans="1:201" ht="14.45"/>
  </sheetData>
  <sheetProtection formatCells="0" formatColumns="0" formatRows="0" autoFilter="0" pivotTables="0"/>
  <protectedRanges>
    <protectedRange sqref="P1048404:P1048576 U7:U141 Q7:T29 T38 R30:T30 S31:T37 J142:J150 J152:J155 N163 N156:O162 E208:K208 B310:O1048576 P310:P1048402 Q310:U1048576 K142:K155 P156:U190 B203:B207 P201:P202 Q31:R141 S39:T95 S97:T141 P192:U197 P191:R191 T191:U191 T201:U202 P243 P245:P271 P277:P284 Q208:Q272 B209:B284 D142:I155 D156:K200 D203:K207 D209:K284 B8:B200 D8:K141 C8:C284 B7:P7 M142:U155 M156:M163 M164:O197 M198:U200 M203:U207 M208:O284 M8:P141 L8:L284 P209:P241 Q273:U284 B285:C293 N285:U290 D285:M288 D290 E289:M290 D291:U293 B294:U300 K301 M301 C301 R209:U272 F303:G307 B309:U309 K308 M303:M308 C308" name="Range2"/>
    <protectedRange algorithmName="SHA-512" hashValue="vRoOBzgnaTfHlM7T0+tNl0mhTzRVDDhFTKlQKqvm4TVwArHmVD6nsbI5wFu7IL+A9NVM4mwVC/dZhLe7UwZM4g==" saltValue="w5UtDG+M2hL8BQ91Beqgag==" spinCount="100000" sqref="A7:A309" name="Range1"/>
  </protectedRanges>
  <autoFilter ref="A6:V309" xr:uid="{00000000-0001-0000-0000-000000000000}">
    <filterColumn colId="1">
      <filters>
        <filter val="Recall"/>
      </filters>
    </filterColumn>
  </autoFilter>
  <mergeCells count="2">
    <mergeCell ref="D3:T3"/>
    <mergeCell ref="J2:O2"/>
  </mergeCells>
  <phoneticPr fontId="8" type="noConversion"/>
  <pageMargins left="0.7" right="0.7" top="0.75" bottom="0.75" header="0.3" footer="0.3"/>
  <pageSetup scale="15" orientation="landscape" r:id="rId1"/>
  <drawing r:id="rId2"/>
  <legacyDrawing r:id="rId3"/>
  <extLst>
    <ext xmlns:x14="http://schemas.microsoft.com/office/spreadsheetml/2009/9/main" uri="{CCE6A557-97BC-4b89-ADB6-D9C93CAAB3DF}">
      <x14:dataValidations xmlns:xm="http://schemas.microsoft.com/office/excel/2006/main" count="7">
        <x14:dataValidation type="list" allowBlank="1" showInputMessage="1" showErrorMessage="1" xr:uid="{E82183C0-E039-45A0-81B8-68151A7F3C69}">
          <x14:formula1>
            <xm:f>Formulas!$D$2:$D$9</xm:f>
          </x14:formula1>
          <xm:sqref>M34:M37 M7:M32 M40:M141 M143:M144 M150:M198 M200 M203:M217 M221:M301 M303:M309</xm:sqref>
        </x14:dataValidation>
        <x14:dataValidation type="list" allowBlank="1" showInputMessage="1" showErrorMessage="1" xr:uid="{C4161ADD-3B86-43FC-B7D7-8C9E03087C9D}">
          <x14:formula1>
            <xm:f>Formulas!$C$2:$C$6</xm:f>
          </x14:formula1>
          <xm:sqref>K40:K141 K308:K309 K143:K147 K150:K198 K200 K203:K226 K228:K271 K34:K37 K7:K32 K277:K301</xm:sqref>
        </x14:dataValidation>
        <x14:dataValidation type="list" allowBlank="1" showInputMessage="1" showErrorMessage="1" xr:uid="{4ED6034C-4A62-451E-9561-92D48BC06941}">
          <x14:formula1>
            <xm:f>Formulas!$B$2:$B$3</xm:f>
          </x14:formula1>
          <xm:sqref>G34:G37 G7:G32 G40:G146 G150:G200 G215:G239 G203:G213 G309 G241:G300 C286:C300 G303:G307 C302:C307 C309</xm:sqref>
        </x14:dataValidation>
        <x14:dataValidation type="list" allowBlank="1" showInputMessage="1" showErrorMessage="1" xr:uid="{96CD1C3E-F812-4311-82D0-FFD0DCB3B1B1}">
          <x14:formula1>
            <xm:f>Formulas!$A$2:$A$5</xm:f>
          </x14:formula1>
          <xm:sqref>B40:B141 B209:B285 B143:B144 B150:B200 B203:B207 B7:B32 B34:B37 B294:B295</xm:sqref>
        </x14:dataValidation>
        <x14:dataValidation type="list" allowBlank="1" showInputMessage="1" showErrorMessage="1" xr:uid="{CA03B4D9-223F-45D1-A837-46ACE80127C4}">
          <x14:formula1>
            <xm:f>Formulas!$E$2:$E$3</xm:f>
          </x14:formula1>
          <xm:sqref>R34:R37 R7:R32 R40:R200 R203:R207 R309 R209:R300</xm:sqref>
        </x14:dataValidation>
        <x14:dataValidation type="list" allowBlank="1" showInputMessage="1" showErrorMessage="1" xr:uid="{E7EE2C19-85A4-4647-A0F8-F38F65CD79CA}">
          <x14:formula1>
            <xm:f>Formulas!$F$2:$F$3</xm:f>
          </x14:formula1>
          <xm:sqref>F7:F198 F200 F203:F300 F303:F307 F309</xm:sqref>
        </x14:dataValidation>
        <x14:dataValidation type="list" allowBlank="1" showInputMessage="1" showErrorMessage="1" xr:uid="{F85A99B5-F336-4277-B13C-D3E95C67ADD6}">
          <x14:formula1>
            <xm:f>Formulas!$A$2:$A$6</xm:f>
          </x14:formula1>
          <xm:sqref>B286:B293 B296:B309</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ab94484-93d5-4243-be9f-2c8235d84811" xsi:nil="true"/>
    <lcf76f155ced4ddcb4097134ff3c332f xmlns="9d7a088c-7b5c-4aa9-bb2f-580615963547">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912973DDED72154BA30B04B9B24F2AEA" ma:contentTypeVersion="16" ma:contentTypeDescription="Ein neues Dokument erstellen." ma:contentTypeScope="" ma:versionID="b04a379a1787b991fddeb61123b4d19a">
  <xsd:schema xmlns:xsd="http://www.w3.org/2001/XMLSchema" xmlns:xs="http://www.w3.org/2001/XMLSchema" xmlns:p="http://schemas.microsoft.com/office/2006/metadata/properties" xmlns:ns2="9d7a088c-7b5c-4aa9-bb2f-580615963547" xmlns:ns3="eab94484-93d5-4243-be9f-2c8235d84811" targetNamespace="http://schemas.microsoft.com/office/2006/metadata/properties" ma:root="true" ma:fieldsID="2eaaea50652d8b91a92cf1ab46d0becb" ns2:_="" ns3:_="">
    <xsd:import namespace="9d7a088c-7b5c-4aa9-bb2f-580615963547"/>
    <xsd:import namespace="eab94484-93d5-4243-be9f-2c8235d8481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7a088c-7b5c-4aa9-bb2f-5806159635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Bildmarkierungen" ma:readOnly="false" ma:fieldId="{5cf76f15-5ced-4ddc-b409-7134ff3c332f}" ma:taxonomyMulti="true" ma:sspId="0dde9f3c-423a-491e-8285-fdfb85f195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ab94484-93d5-4243-be9f-2c8235d84811" elementFormDefault="qualified">
    <xsd:import namespace="http://schemas.microsoft.com/office/2006/documentManagement/types"/>
    <xsd:import namespace="http://schemas.microsoft.com/office/infopath/2007/PartnerControls"/>
    <xsd:element name="SharedWithUsers" ma:index="16"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Freigegeben für - Details" ma:internalName="SharedWithDetails" ma:readOnly="true">
      <xsd:simpleType>
        <xsd:restriction base="dms:Note">
          <xsd:maxLength value="255"/>
        </xsd:restriction>
      </xsd:simpleType>
    </xsd:element>
    <xsd:element name="TaxCatchAll" ma:index="21" nillable="true" ma:displayName="Taxonomy Catch All Column" ma:hidden="true" ma:list="{98b6feb3-f807-43b8-bde6-d0dfb91f344f}" ma:internalName="TaxCatchAll" ma:showField="CatchAllData" ma:web="eab94484-93d5-4243-be9f-2c8235d8481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EF1B10A-912E-4486-B183-E771DEB4B454}"/>
</file>

<file path=customXml/itemProps2.xml><?xml version="1.0" encoding="utf-8"?>
<ds:datastoreItem xmlns:ds="http://schemas.openxmlformats.org/officeDocument/2006/customXml" ds:itemID="{CC895569-EED1-40C5-8C4E-363112254689}"/>
</file>

<file path=customXml/itemProps3.xml><?xml version="1.0" encoding="utf-8"?>
<ds:datastoreItem xmlns:ds="http://schemas.openxmlformats.org/officeDocument/2006/customXml" ds:itemID="{E5D50EEC-2725-43F4-B7C2-3132A194C81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Milica Zivkovic</dc:creator>
  <cp:keywords/>
  <dc:description/>
  <cp:lastModifiedBy/>
  <cp:revision/>
  <dcterms:created xsi:type="dcterms:W3CDTF">2015-06-05T18:17:20Z</dcterms:created>
  <dcterms:modified xsi:type="dcterms:W3CDTF">2026-09-24T16:07:14Z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0x010100912973DDED72154BA30B04B9B24F2AEA</vt:lpwstr>
  </property>
  <property fmtid="{D5CDD505-2E9C-101B-9397-08002B2CF9AE}" pid="3" name="MediaServiceImageTags">
    <vt:lpwstr/>
  </property>
</Properties>
</file>